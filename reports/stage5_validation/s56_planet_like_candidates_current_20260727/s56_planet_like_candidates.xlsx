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e3fb6cfe9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79985decba44e4b"/>
    <x:sheet xmlns:r="http://schemas.openxmlformats.org/officeDocument/2006/relationships" name="Candidates" sheetId="2" r:id="Rc5c279362d644dd3"/>
    <x:sheet xmlns:r="http://schemas.openxmlformats.org/officeDocument/2006/relationships" name="Provenance" sheetId="3" r:id="Rfa77ea4bc25f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#,##0"/>
    <x:numFmt numFmtId="202" formatCode="@"/>
    <x:numFmt numFmtId="203" formatCode="0.00"/>
    <x:numFmt numFmtId="204" formatCode="0.000000"/>
    <x:numFmt numFmtId="205" formatCode="0.0%"/>
    <x:numFmt numFmtId="206" formatCode="0.0"/>
    <x:numFmt numFmtId="207" formatCode="0.00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0252B"/>
      <x:name val="Carlito"/>
    </x:font>
    <x:font>
      <x:i/>
      <x:sz val="11"/>
      <x:color rgb="FF20252B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0"/>
      <x:color rgb="FF20252B"/>
      <x:name val="Aptos"/>
    </x:font>
    <x:font>
      <x:i/>
      <x:sz val="11"/>
      <x:color rgb="FF20252B"/>
      <x:name val="Aptos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3B4D66"/>
      </x:patternFill>
    </x:fill>
    <x:fill>
      <x:patternFill patternType="solid">
        <x:fgColor rgb="FFF4F6F8"/>
      </x:patternFill>
    </x:fill>
    <x:fill>
      <x:patternFill patternType="solid">
        <x:fgColor rgb="FFDCE6F1"/>
      </x:patternFill>
    </x:fill>
    <x:fill>
      <x:patternFill patternType="solid">
        <x:fgColor rgb="FFE7F2EC"/>
      </x:patternFill>
    </x:fill>
    <x:fill>
      <x:patternFill patternType="solid">
        <x:fgColor rgb="FFFFF4D6"/>
      </x:patternFill>
    </x:fill>
    <x:fill>
      <x:patternFill patternType="solid">
        <x:fgColor rgb="FFF8E4E4"/>
      </x:patternFill>
    </x:fill>
    <x:fill>
      <x:patternFill patternType="solid">
        <x:fgColor rgb="FFF7F8FA"/>
      </x:patternFill>
    </x:fill>
  </x:fills>
  <x:borders count="21">
    <x:border/>
    <x:border>
      <x:left style="thin">
        <x:color rgb="FFAAB1B9"/>
      </x:left>
      <x:top style="thin">
        <x:color rgb="FFAAB1B9"/>
      </x:top>
    </x:border>
    <x:border>
      <x:right style="thin">
        <x:color rgb="FFAAB1B9"/>
      </x:right>
      <x:top style="thin">
        <x:color rgb="FFAAB1B9"/>
      </x:top>
    </x:border>
    <x:border>
      <x:left style="thin">
        <x:color rgb="FFAAB1B9"/>
      </x:left>
    </x:border>
    <x:border>
      <x:right style="thin">
        <x:color rgb="FFAAB1B9"/>
      </x:right>
    </x:border>
    <x:border>
      <x:left style="thin">
        <x:color rgb="FFAAB1B9"/>
      </x:left>
      <x:bottom style="thin">
        <x:color rgb="FFAAB1B9"/>
      </x:bottom>
    </x:border>
    <x:border>
      <x:right style="thin">
        <x:color rgb="FFAAB1B9"/>
      </x:right>
      <x:bottom style="thin">
        <x:color rgb="FFAAB1B9"/>
      </x:bottom>
    </x:border>
    <x:border>
      <x:left style="thin">
        <x:color rgb="FFE3E6EA"/>
      </x:left>
      <x:top style="thin">
        <x:color rgb="FFE3E6EA"/>
      </x:top>
    </x:border>
    <x:border>
      <x:top style="thin">
        <x:color rgb="FFE3E6EA"/>
      </x:top>
    </x:border>
    <x:border>
      <x:right style="thin">
        <x:color rgb="FFE3E6EA"/>
      </x:right>
      <x:top style="thin">
        <x:color rgb="FFE3E6EA"/>
      </x:top>
    </x:border>
    <x:border>
      <x:left style="thin">
        <x:color rgb="FFE3E6EA"/>
      </x:left>
    </x:border>
    <x:border>
      <x:right style="thin">
        <x:color rgb="FFE3E6EA"/>
      </x:right>
    </x:border>
    <x:border>
      <x:left style="thin">
        <x:color rgb="FFE3E6EA"/>
      </x:left>
      <x:bottom style="thin">
        <x:color rgb="FFE3E6EA"/>
      </x:bottom>
    </x:border>
    <x:border>
      <x:bottom style="thin">
        <x:color rgb="FFE3E6EA"/>
      </x:bottom>
    </x:border>
    <x:border>
      <x:right style="thin">
        <x:color rgb="FFE3E6EA"/>
      </x:right>
      <x:bottom style="thin">
        <x:color rgb="FFE3E6EA"/>
      </x:bottom>
    </x:border>
    <x:border>
      <x:left style="thin">
        <x:color rgb="FFD8B35A"/>
      </x:left>
      <x:top style="thin">
        <x:color rgb="FFD8B35A"/>
      </x:top>
    </x:border>
    <x:border>
      <x:top style="thin">
        <x:color rgb="FFD8B35A"/>
      </x:top>
    </x:border>
    <x:border>
      <x:right style="thin">
        <x:color rgb="FFD8B35A"/>
      </x:right>
      <x:top style="thin">
        <x:color rgb="FFD8B35A"/>
      </x:top>
    </x:border>
    <x:border>
      <x:left style="thin">
        <x:color rgb="FFD8B35A"/>
      </x:left>
      <x:bottom style="thin">
        <x:color rgb="FFD8B35A"/>
      </x:bottom>
    </x:border>
    <x:border>
      <x:bottom style="thin">
        <x:color rgb="FFD8B35A"/>
      </x:bottom>
    </x:border>
    <x:border>
      <x:right style="thin">
        <x:color rgb="FFD8B35A"/>
      </x:right>
      <x:bottom style="thin">
        <x:color rgb="FFD8B35A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3" xfId="0" applyNumberFormat="1" applyFont="1" applyFill="1" applyBorder="1"/>
    <x:xf numFmtId="0" fontId="0" fillId="8" borderId="5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7" xfId="0" applyNumberFormat="1" applyFont="1" applyFill="1" applyBorder="1"/>
    <x:xf numFmtId="0" fontId="3" fillId="9" borderId="8" xfId="0" applyNumberFormat="1" applyFont="1" applyFill="1" applyBorder="1"/>
    <x:xf numFmtId="0" fontId="3" fillId="9" borderId="9" xfId="0" applyNumberFormat="1" applyFont="1" applyFill="1" applyBorder="1"/>
    <x:xf numFmtId="0" fontId="3" fillId="9" borderId="10" xfId="0" applyNumberFormat="1" applyFont="1" applyFill="1" applyBorder="1"/>
    <x:xf numFmtId="0" fontId="3" fillId="9" borderId="11" xfId="0" applyNumberFormat="1" applyFont="1" applyFill="1" applyBorder="1"/>
    <x:xf numFmtId="0" fontId="3" fillId="9" borderId="12" xfId="0" applyNumberFormat="1" applyFont="1" applyFill="1" applyBorder="1"/>
    <x:xf numFmtId="0" fontId="3" fillId="9" borderId="13" xfId="0" applyNumberFormat="1" applyFont="1" applyFill="1" applyBorder="1"/>
    <x:xf numFmtId="0" fontId="3" fillId="9" borderId="14" xfId="0" applyNumberFormat="1" applyFont="1" applyFill="1" applyBorder="1"/>
    <x:xf numFmtId="0" fontId="3" fillId="9" borderId="7" xfId="0" applyNumberFormat="1" applyFont="1" applyFill="1" applyBorder="1" applyAlignment="1">
      <x:alignment wrapText="1"/>
    </x:xf>
    <x:xf numFmtId="0" fontId="3" fillId="9" borderId="8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wrapText="1"/>
    </x:xf>
    <x:xf numFmtId="0" fontId="3" fillId="9" borderId="1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11" xfId="0" applyNumberFormat="1" applyFont="1" applyFill="1" applyBorder="1" applyAlignment="1">
      <x:alignment wrapText="1"/>
    </x:xf>
    <x:xf numFmtId="0" fontId="3" fillId="9" borderId="12" xfId="0" applyNumberFormat="1" applyFont="1" applyFill="1" applyBorder="1" applyAlignment="1">
      <x:alignment wrapText="1"/>
    </x:xf>
    <x:xf numFmtId="0" fontId="3" fillId="9" borderId="13" xfId="0" applyNumberFormat="1" applyFont="1" applyFill="1" applyBorder="1" applyAlignment="1">
      <x:alignment wrapText="1"/>
    </x:xf>
    <x:xf numFmtId="0" fontId="3" fillId="9" borderId="14" xfId="0" applyNumberFormat="1" applyFont="1" applyFill="1" applyBorder="1" applyAlignment="1">
      <x:alignment wrapText="1"/>
    </x:xf>
    <x:xf numFmtId="0" fontId="3" fillId="9" borderId="7" xfId="0" applyNumberFormat="1" applyFont="1" applyFill="1" applyBorder="1" applyAlignment="1">
      <x:alignment vertical="top" wrapText="1"/>
    </x:xf>
    <x:xf numFmtId="0" fontId="3" fillId="9" borderId="8" xfId="0" applyNumberFormat="1" applyFont="1" applyFill="1" applyBorder="1" applyAlignment="1">
      <x:alignment vertical="top" wrapText="1"/>
    </x:xf>
    <x:xf numFmtId="0" fontId="3" fillId="9" borderId="9" xfId="0" applyNumberFormat="1" applyFont="1" applyFill="1" applyBorder="1" applyAlignment="1">
      <x:alignment vertical="top" wrapText="1"/>
    </x:xf>
    <x:xf numFmtId="0" fontId="3" fillId="9" borderId="1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11" xfId="0" applyNumberFormat="1" applyFont="1" applyFill="1" applyBorder="1" applyAlignment="1">
      <x:alignment vertical="top" wrapText="1"/>
    </x:xf>
    <x:xf numFmtId="0" fontId="3" fillId="9" borderId="12" xfId="0" applyNumberFormat="1" applyFont="1" applyFill="1" applyBorder="1" applyAlignment="1">
      <x:alignment vertical="top" wrapText="1"/>
    </x:xf>
    <x:xf numFmtId="0" fontId="3" fillId="9" borderId="13" xfId="0" applyNumberFormat="1" applyFont="1" applyFill="1" applyBorder="1" applyAlignment="1">
      <x:alignment vertical="top" wrapText="1"/>
    </x:xf>
    <x:xf numFmtId="0" fontId="3" fillId="9" borderId="1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8" xfId="0" applyNumberFormat="1" applyFont="1" applyFill="1" applyBorder="1"/>
    <x:xf numFmtId="0" fontId="4" fillId="7" borderId="19" xfId="0" applyNumberFormat="1" applyFont="1" applyFill="1" applyBorder="1"/>
    <x:xf numFmtId="0" fontId="4" fillId="7" borderId="20" xfId="0" applyNumberFormat="1" applyFont="1" applyFill="1" applyBorder="1"/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8" xfId="0" applyNumberFormat="1" applyFont="1" applyFill="1" applyBorder="1" applyAlignment="1">
      <x:alignment wrapText="1"/>
    </x:xf>
    <x:xf numFmtId="0" fontId="4" fillId="7" borderId="19" xfId="0" applyNumberFormat="1" applyFont="1" applyFill="1" applyBorder="1" applyAlignment="1">
      <x:alignment wrapText="1"/>
    </x:xf>
    <x:xf numFmtId="0" fontId="4" fillId="7" borderId="20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  <x:xf numFmtId="0" fontId="4" fillId="7" borderId="18" xfId="0" applyNumberFormat="1" applyFont="1" applyFill="1" applyBorder="1" applyAlignment="1">
      <x:alignment vertical="center" wrapText="1"/>
    </x:xf>
    <x:xf numFmtId="0" fontId="4" fillId="7" borderId="19" xfId="0" applyNumberFormat="1" applyFont="1" applyFill="1" applyBorder="1" applyAlignment="1">
      <x:alignment vertical="center" wrapText="1"/>
    </x:xf>
    <x:xf numFmtId="0" fontId="4" fillId="7" borderId="2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6" fillId="4" borderId="3" xfId="0" applyNumberFormat="1" applyFont="1" applyFill="1" applyBorder="1"/>
    <x:xf numFmtId="200" fontId="6" fillId="0" borderId="4" xfId="0" applyNumberFormat="1" applyFont="1" applyFill="1" applyBorder="1"/>
    <x:xf numFmtId="0" fontId="6" fillId="5" borderId="3" xfId="0" applyNumberFormat="1" applyFont="1" applyFill="1" applyBorder="1"/>
    <x:xf numFmtId="0" fontId="6" fillId="6" borderId="3" xfId="0" applyNumberFormat="1" applyFont="1" applyFill="1" applyBorder="1"/>
    <x:xf numFmtId="0" fontId="6" fillId="7" borderId="3" xfId="0" applyNumberFormat="1" applyFont="1" applyFill="1" applyBorder="1"/>
    <x:xf numFmtId="0" fontId="6" fillId="8" borderId="5" xfId="0" applyNumberFormat="1" applyFont="1" applyFill="1" applyBorder="1"/>
    <x:xf numFmtId="200" fontId="6" fillId="0" borderId="6" xfId="0" applyNumberFormat="1" applyFont="1" applyFill="1" applyBorder="1"/>
    <x:xf numFmtId="0" fontId="6" fillId="4" borderId="5" xfId="0" applyNumberFormat="1" applyFont="1" applyFill="1" applyBorder="1"/>
    <x:xf numFmtId="0" fontId="7" fillId="3" borderId="0" xfId="0" applyNumberFormat="1" applyFont="1" applyFill="1" applyBorder="1"/>
    <x:xf numFmtId="0" fontId="8" fillId="9" borderId="7" xfId="0" applyNumberFormat="1" applyFont="1" applyFill="1" applyBorder="1" applyAlignment="1">
      <x:alignment vertical="top" wrapText="1"/>
    </x:xf>
    <x:xf numFmtId="0" fontId="8" fillId="9" borderId="8" xfId="0" applyNumberFormat="1" applyFont="1" applyFill="1" applyBorder="1" applyAlignment="1">
      <x:alignment vertical="top" wrapText="1"/>
    </x:xf>
    <x:xf numFmtId="0" fontId="8" fillId="9" borderId="9" xfId="0" applyNumberFormat="1" applyFont="1" applyFill="1" applyBorder="1" applyAlignment="1">
      <x:alignment vertical="top" wrapText="1"/>
    </x:xf>
    <x:xf numFmtId="0" fontId="8" fillId="9" borderId="1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11" xfId="0" applyNumberFormat="1" applyFont="1" applyFill="1" applyBorder="1" applyAlignment="1">
      <x:alignment vertical="top" wrapText="1"/>
    </x:xf>
    <x:xf numFmtId="0" fontId="8" fillId="9" borderId="12" xfId="0" applyNumberFormat="1" applyFont="1" applyFill="1" applyBorder="1" applyAlignment="1">
      <x:alignment vertical="top" wrapText="1"/>
    </x:xf>
    <x:xf numFmtId="0" fontId="8" fillId="9" borderId="13" xfId="0" applyNumberFormat="1" applyFont="1" applyFill="1" applyBorder="1" applyAlignment="1">
      <x:alignment vertical="top" wrapText="1"/>
    </x:xf>
    <x:xf numFmtId="0" fontId="8" fillId="9" borderId="1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/>
    <x:xf numFmtId="201" fontId="6" fillId="0" borderId="4" xfId="0" applyNumberFormat="1" applyFont="1" applyFill="1" applyBorder="1"/>
    <x:xf numFmtId="201" fontId="6" fillId="0" borderId="6" xfId="0" applyNumberFormat="1" applyFont="1" applyFill="1" applyBorder="1"/>
    <x:xf numFmtId="0" fontId="9" fillId="7" borderId="15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9" fillId="7" borderId="19" xfId="0" applyNumberFormat="1" applyFont="1" applyFill="1" applyBorder="1" applyAlignment="1">
      <x:alignment vertical="center" wrapText="1"/>
    </x:xf>
    <x:xf numFmtId="0" fontId="9" fillId="7" borderId="2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7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 patternType="solid">
          <x:bgColor rgb="FFDCE6F1"/>
        </x:patternFill>
      </x:fill>
    </x:dxf>
    <x:dxf>
      <x:font>
        <x:b/>
      </x:font>
      <x:fill>
        <x:patternFill patternType="solid">
          <x:bgColor rgb="FFE7F2EC"/>
        </x:patternFill>
      </x:fill>
    </x:dxf>
    <x:dxf>
      <x:font>
        <x:b/>
      </x:font>
      <x:fill>
        <x:patternFill patternType="solid">
          <x:bgColor rgb="FFFFF4D6"/>
        </x:patternFill>
      </x:fill>
    </x:dxf>
    <x:dxf>
      <x:font>
        <x:b/>
      </x:font>
      <x:fill>
        <x:patternFill patternType="solid">
          <x:bgColor rgb="FFF8E4E4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8E4E4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8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c58589c554f9a" /><Relationship Type="http://schemas.openxmlformats.org/officeDocument/2006/relationships/theme" Target="/xl/theme/theme1.xml" Id="R86c0141a72d94579" /><Relationship Type="http://schemas.openxmlformats.org/officeDocument/2006/relationships/sharedStrings" Target="/xl/sharedStrings.xml" Id="R6ea32a2ed55a418d" /><Relationship Type="http://schemas.openxmlformats.org/officeDocument/2006/relationships/worksheet" Target="/xl/worksheets/sheet1.xml" Id="Re79985decba44e4b" /><Relationship Type="http://schemas.openxmlformats.org/officeDocument/2006/relationships/worksheet" Target="/xl/worksheets/sheet2.xml" Id="Rc5c279362d644dd3" /><Relationship Type="http://schemas.openxmlformats.org/officeDocument/2006/relationships/worksheet" Target="/xl/worksheets/sheet3.xml" Id="Rfa77ea4bc25f40ed" /></Relationships>
</file>

<file path=xl/tables/table1.xml><?xml version="1.0" encoding="utf-8"?>
<x:table xmlns:x="http://schemas.openxmlformats.org/spreadsheetml/2006/main" id="1" name="S56PlanetLikeCandidates" displayName="S56PlanetLikeCandidates" ref="A1:AD31" headerRowCount="1" totalsRowCount="0" totalsRowShown="0">
  <x:autoFilter ref="A1:AD31"/>
  <x:tableColumns count="30">
    <x:tableColumn id="1" name="Priority rank"/>
    <x:tableColumn id="2" name="Group"/>
    <x:tableColumn id="3" name="TIC"/>
    <x:tableColumn id="4" name="Object"/>
    <x:tableColumn id="5" name="Sector"/>
    <x:tableColumn id="6" name="Discovery route"/>
    <x:tableColumn id="7" name="Camera"/>
    <x:tableColumn id="8" name="CCD"/>
    <x:tableColumn id="9" name="Tmag"/>
    <x:tableColumn id="10" name="BLS anchor P [d]"/>
    <x:tableColumn id="11" name="Morphology fold"/>
    <x:tableColumn id="12" name="Morphology view P [d]"/>
    <x:tableColumn id="13" name="Duration [min]"/>
    <x:tableColumn id="14" name="ADP-small depth"/>
    <x:tableColumn id="15" name="ADP-small SDE"/>
    <x:tableColumn id="16" name="ADP-primary SDE"/>
    <x:tableColumn id="17" name="ADP period match"/>
    <x:tableColumn id="18" name="Aperture ΔP/P"/>
    <x:tableColumn id="19" name="Primary/small depth ratio"/>
    <x:tableColumn id="20" name="ADP-small odd-even Δ [σ]"/>
    <x:tableColumn id="21" name="ADP-primary odd-even Δ [σ]"/>
    <x:tableColumn id="22" name="Max odd-even Δ [σ]"/>
    <x:tableColumn id="23" name="Odd-even status"/>
    <x:tableColumn id="24" name="Target QA"/>
    <x:tableColumn id="25" name="Tier-1 searchable"/>
    <x:tableColumn id="26" name="Priority note"/>
    <x:tableColumn id="27" name="Vetting sheet"/>
    <x:tableColumn id="28" name="Sheet SHA-256"/>
    <x:tableColumn id="29" name="Source batch"/>
    <x:tableColumn id="30" name="Review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270ad14e564c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9" hidden="0" customWidth="1"/>
    <x:col min="3" max="3" width="3" hidden="0" customWidth="1"/>
    <x:col min="4" max="4" width="3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70" t="str">
        <x:v>Sector 56 current Planet-like transit candidates</x:v>
      </x:c>
      <x:c r="B1" s="70"/>
      <x:c r="C1" s="70"/>
      <x:c r="D1" s="70"/>
      <x:c r="E1" s="70"/>
      <x:c r="F1" s="70"/>
      <x:c r="G1" s="70"/>
      <x:c r="H1" s="70"/>
    </x:row>
    <x:row r="2">
      <x:c r="A2" s="71"/>
      <x:c r="B2" s="71"/>
      <x:c r="C2" s="71"/>
      <x:c r="D2" s="71"/>
      <x:c r="E2" s="71"/>
      <x:c r="F2" s="71"/>
      <x:c r="G2" s="71"/>
      <x:c r="H2" s="71"/>
    </x:row>
    <x:row r="3">
      <x:c r="A3" s="72" t="str">
        <x:v>Candidate set</x:v>
      </x:c>
      <x:c r="B3" s="73" t="str">
        <x:v>Value</x:v>
      </x:c>
      <x:c r="C3" s="71"/>
      <x:c r="D3" s="72" t="str">
        <x:v>Priority group</x:v>
      </x:c>
      <x:c r="E3" s="73" t="str">
        <x:v>Count</x:v>
      </x:c>
      <x:c r="F3" s="71"/>
      <x:c r="G3" s="71"/>
      <x:c r="H3" s="71"/>
    </x:row>
    <x:row r="4">
      <x:c r="A4" s="74" t="str">
        <x:v>Human-accepted S56 candidates</x:v>
      </x:c>
      <x:c r="B4" s="75" t="n">
        <x:f>COUNTA('Candidates'!$C$2:$C$31)</x:f>
        <x:v>30</x:v>
      </x:c>
      <x:c r="C4" s="71"/>
      <x:c r="D4" s="76" t="str">
        <x:v>Benchmark</x:v>
      </x:c>
      <x:c r="E4" s="75" t="n">
        <x:f>COUNTIF('Candidates'!$B$2:$B$31,"Benchmark")</x:f>
        <x:v>1</x:v>
      </x:c>
      <x:c r="F4" s="71"/>
      <x:c r="G4" s="71"/>
      <x:c r="H4" s="71"/>
    </x:row>
    <x:row r="5">
      <x:c r="A5" s="74" t="str">
        <x:v>Original human-adjudicated</x:v>
      </x:c>
      <x:c r="B5" s="75" t="n">
        <x:f>COUNTIF('Candidates'!$F$2:$F$31,"human-adjudicated")</x:f>
        <x:v>12</x:v>
      </x:c>
      <x:c r="C5" s="71"/>
      <x:c r="D5" s="77" t="str">
        <x:v>A — aligned current ADP periods</x:v>
      </x:c>
      <x:c r="E5" s="75" t="n">
        <x:f>COUNTIF('Candidates'!$B$2:$B$31,"A")</x:f>
        <x:v>12</x:v>
      </x:c>
      <x:c r="F5" s="71"/>
      <x:c r="G5" s="71"/>
      <x:c r="H5" s="71"/>
    </x:row>
    <x:row r="6">
      <x:c r="A6" s="74" t="str">
        <x:v>Model-enriched, human-confirmed</x:v>
      </x:c>
      <x:c r="B6" s="75" t="n">
        <x:f>COUNTIF('Candidates'!$F$2:$F$31,"model-enriched, human-confirmed")</x:f>
        <x:v>18</x:v>
      </x:c>
      <x:c r="C6" s="71"/>
      <x:c r="D6" s="78" t="str">
        <x:v>B — small-aperture-led</x:v>
      </x:c>
      <x:c r="E6" s="75" t="n">
        <x:f>COUNTIF('Candidates'!$B$2:$B$31,"B")</x:f>
        <x:v>15</x:v>
      </x:c>
      <x:c r="F6" s="71"/>
      <x:c r="G6" s="71"/>
      <x:c r="H6" s="71"/>
    </x:row>
    <x:row r="7">
      <x:c r="A7" s="74" t="str">
        <x:v>Current two-aperture period matches</x:v>
      </x:c>
      <x:c r="B7" s="75" t="n">
        <x:f>COUNTIF('Candidates'!$Q$2:$Q$31,"yes")</x:f>
        <x:v>13</x:v>
      </x:c>
      <x:c r="C7" s="71"/>
      <x:c r="D7" s="79" t="str">
        <x:v>C — small-aperture-led + QA review</x:v>
      </x:c>
      <x:c r="E7" s="80" t="n">
        <x:f>COUNTIF('Candidates'!$B$2:$B$31,"C")</x:f>
        <x:v>2</x:v>
      </x:c>
      <x:c r="F7" s="71"/>
      <x:c r="G7" s="71"/>
      <x:c r="H7" s="71"/>
    </x:row>
    <x:row r="8">
      <x:c r="A8" s="74" t="str">
        <x:v>Tier-1 searchable</x:v>
      </x:c>
      <x:c r="B8" s="75" t="n">
        <x:f>COUNTIF('Candidates'!$Y$2:$Y$31,"yes")</x:f>
        <x:v>30</x:v>
      </x:c>
      <x:c r="C8" s="71"/>
      <x:c r="D8" s="71"/>
      <x:c r="E8" s="71"/>
      <x:c r="F8" s="71"/>
      <x:c r="G8" s="71"/>
      <x:c r="H8" s="71"/>
    </x:row>
    <x:row r="9">
      <x:c r="A9" s="81" t="str">
        <x:v>Odd/even review flags</x:v>
      </x:c>
      <x:c r="B9" s="80" t="n">
        <x:f>COUNTIF('Candidates'!$W$2:$W$31,"review")</x:f>
        <x:v>2</x:v>
      </x:c>
      <x:c r="C9" s="71"/>
      <x:c r="D9" s="71"/>
      <x:c r="E9" s="71"/>
      <x:c r="F9" s="71"/>
      <x:c r="G9" s="71"/>
      <x:c r="H9" s="71"/>
    </x:row>
    <x:row r="10">
      <x:c r="A10" s="71"/>
      <x:c r="B10" s="71"/>
      <x:c r="C10" s="71"/>
      <x:c r="D10" s="71"/>
      <x:c r="E10" s="71"/>
      <x:c r="F10" s="71"/>
      <x:c r="G10" s="71"/>
      <x:c r="H10" s="71"/>
    </x:row>
    <x:row r="11">
      <x:c r="A11" s="82" t="str">
        <x:v>How to read this workbook</x:v>
      </x:c>
      <x:c r="B11" s="82"/>
      <x:c r="C11" s="82"/>
      <x:c r="D11" s="82"/>
      <x:c r="E11" s="82"/>
      <x:c r="F11" s="82"/>
      <x:c r="G11" s="82"/>
      <x:c r="H11" s="82"/>
    </x:row>
    <x:row r="12">
      <x:c r="A12" s="83" t="str">
        <x:v>This is a follow-up triage of final human-accepted Planet-like morphology labels, not an astrophysical confirmation list. Group A requires aligned periods in the current DET_FLUX_ADP_SML and DET_FLUX_ADP renderings. Groups B/C are small-aperture-led and need contamination and independent-extraction checks. The morphology-view period is formula-derived from the BLS anchor and review fold factor; the fold is an evidence-view choice, not automatically the physical orbital period.</x:v>
      </x:c>
      <x:c r="B12" s="84"/>
      <x:c r="C12" s="84"/>
      <x:c r="D12" s="84"/>
      <x:c r="E12" s="84"/>
      <x:c r="F12" s="84"/>
      <x:c r="G12" s="84"/>
      <x:c r="H12" s="85"/>
    </x:row>
    <x:row r="13">
      <x:c r="A13" s="86"/>
      <x:c r="B13" s="87"/>
      <x:c r="C13" s="87"/>
      <x:c r="D13" s="87"/>
      <x:c r="E13" s="87"/>
      <x:c r="F13" s="87"/>
      <x:c r="G13" s="87"/>
      <x:c r="H13" s="88"/>
    </x:row>
    <x:row r="14">
      <x:c r="A14" s="86"/>
      <x:c r="B14" s="87"/>
      <x:c r="C14" s="87"/>
      <x:c r="D14" s="87"/>
      <x:c r="E14" s="87"/>
      <x:c r="F14" s="87"/>
      <x:c r="G14" s="87"/>
      <x:c r="H14" s="88"/>
    </x:row>
    <x:row r="15">
      <x:c r="A15" s="89"/>
      <x:c r="B15" s="90"/>
      <x:c r="C15" s="90"/>
      <x:c r="D15" s="90"/>
      <x:c r="E15" s="90"/>
      <x:c r="F15" s="90"/>
      <x:c r="G15" s="90"/>
      <x:c r="H15" s="91"/>
    </x:row>
    <x:row r="16">
      <x:c r="A16" s="71"/>
      <x:c r="B16" s="71"/>
      <x:c r="C16" s="71"/>
      <x:c r="D16" s="71"/>
      <x:c r="E16" s="71"/>
      <x:c r="F16" s="71"/>
      <x:c r="G16" s="71"/>
      <x:c r="H16" s="71"/>
    </x:row>
    <x:row r="17">
      <x:c r="A17" s="72" t="str">
        <x:v>Sheet contract</x:v>
      </x:c>
      <x:c r="B17" s="73" t="str">
        <x:v>Value</x:v>
      </x:c>
      <x:c r="C17" s="71"/>
      <x:c r="D17" s="71"/>
      <x:c r="E17" s="71"/>
      <x:c r="F17" s="71"/>
      <x:c r="G17" s="71"/>
      <x:c r="H17" s="71"/>
    </x:row>
    <x:row r="18">
      <x:c r="A18" s="74" t="str">
        <x:v>Sheet-set version</x:v>
      </x:c>
      <x:c r="B18" s="92" t="str">
        <x:v>s56_s62_a2v1_current_adp_v1</x:v>
      </x:c>
      <x:c r="C18" s="71"/>
      <x:c r="D18" s="71"/>
      <x:c r="E18" s="71"/>
      <x:c r="F18" s="71"/>
      <x:c r="G18" s="71"/>
      <x:c r="H18" s="71"/>
    </x:row>
    <x:row r="19">
      <x:c r="A19" s="74" t="str">
        <x:v>Renderer</x:v>
      </x:c>
      <x:c r="B19" s="92" t="str">
        <x:v>S56-ADP-HV2</x:v>
      </x:c>
      <x:c r="C19" s="71"/>
      <x:c r="D19" s="71"/>
      <x:c r="E19" s="71"/>
      <x:c r="F19" s="71"/>
      <x:c r="G19" s="71"/>
      <x:c r="H19" s="71"/>
    </x:row>
    <x:row r="20">
      <x:c r="A20" s="74" t="str">
        <x:v>Branch</x:v>
      </x:c>
      <x:c r="B20" s="92" t="str">
        <x:v>current_adp</x:v>
      </x:c>
      <x:c r="C20" s="71"/>
      <x:c r="D20" s="71"/>
      <x:c r="E20" s="71"/>
      <x:c r="F20" s="71"/>
      <x:c r="G20" s="71"/>
      <x:c r="H20" s="71"/>
    </x:row>
    <x:row r="21">
      <x:c r="A21" s="74" t="str">
        <x:v>Apertures</x:v>
      </x:c>
      <x:c r="B21" s="92" t="str">
        <x:v>DET_FLUX_ADP_SML, DET_FLUX_ADP</x:v>
      </x:c>
      <x:c r="C21" s="71"/>
      <x:c r="D21" s="71"/>
      <x:c r="E21" s="71"/>
      <x:c r="F21" s="71"/>
      <x:c r="G21" s="71"/>
      <x:c r="H21" s="71"/>
    </x:row>
    <x:row r="22">
      <x:c r="A22" s="74" t="str">
        <x:v>Trial periods</x:v>
      </x:c>
      <x:c r="B22" s="93" t="n">
        <x:v>20000</x:v>
      </x:c>
      <x:c r="C22" s="71"/>
      <x:c r="D22" s="71"/>
      <x:c r="E22" s="71"/>
      <x:c r="F22" s="71"/>
      <x:c r="G22" s="71"/>
      <x:c r="H22" s="71"/>
    </x:row>
    <x:row r="23">
      <x:c r="A23" s="81" t="str">
        <x:v>Retained peaks</x:v>
      </x:c>
      <x:c r="B23" s="94" t="n">
        <x:v>10</x:v>
      </x:c>
      <x:c r="C23" s="71"/>
      <x:c r="D23" s="71"/>
      <x:c r="E23" s="71"/>
      <x:c r="F23" s="71"/>
      <x:c r="G23" s="71"/>
      <x:c r="H23" s="71"/>
    </x:row>
    <x:row r="24">
      <x:c r="A24" s="71"/>
      <x:c r="B24" s="71"/>
      <x:c r="C24" s="71"/>
      <x:c r="D24" s="71"/>
      <x:c r="E24" s="71"/>
      <x:c r="F24" s="71"/>
      <x:c r="G24" s="71"/>
      <x:c r="H24" s="71"/>
    </x:row>
    <x:row r="25">
      <x:c r="A25" s="95" t="str">
        <x:v>Current status: every row is Tier-1 searchable for bounded enrichment. Pixel-level localization, archival checks, independent re-extraction, false-alarm calibration, and follow-up readiness remain open.</x:v>
      </x:c>
      <x:c r="B25" s="96"/>
      <x:c r="C25" s="96"/>
      <x:c r="D25" s="96"/>
      <x:c r="E25" s="96"/>
      <x:c r="F25" s="96"/>
      <x:c r="G25" s="96"/>
      <x:c r="H25" s="97"/>
    </x:row>
    <x:row r="26">
      <x:c r="A26" s="98"/>
      <x:c r="B26" s="99"/>
      <x:c r="C26" s="99"/>
      <x:c r="D26" s="99"/>
      <x:c r="E26" s="99"/>
      <x:c r="F26" s="99"/>
      <x:c r="G26" s="99"/>
      <x:c r="H26" s="100"/>
    </x:row>
  </x:sheetData>
  <x:mergeCells>
    <x:mergeCell ref="A1:H1"/>
    <x:mergeCell ref="A11:H11"/>
    <x:mergeCell ref="A12:H15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4" hidden="0" customWidth="1"/>
    <x:col min="4" max="4" width="14" hidden="0" customWidth="1"/>
    <x:col min="5" max="5" width="8" hidden="0" customWidth="1"/>
    <x:col min="6" max="6" width="27" hidden="0" customWidth="1"/>
    <x:col min="7" max="7" width="8" hidden="0" customWidth="1"/>
    <x:col min="8" max="8" width="8" hidden="0" customWidth="1"/>
    <x:col min="9" max="9" width="9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  <x:col min="14" max="14" width="15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6" hidden="0" customWidth="1"/>
    <x:col min="24" max="24" width="16" hidden="0" customWidth="1"/>
    <x:col min="25" max="25" width="16" hidden="0" customWidth="1"/>
    <x:col min="26" max="26" width="55" hidden="0" customWidth="1"/>
    <x:col min="27" max="27" width="43" hidden="0" customWidth="1"/>
    <x:col min="28" max="28" width="67" hidden="0" customWidth="1"/>
    <x:col min="29" max="29" width="34" hidden="0" customWidth="1"/>
    <x:col min="30" max="30" width="34" hidden="0" customWidth="1"/>
  </x:cols>
  <x:sheetData>
    <x:row r="1" ht="42" customHeight="1">
      <x:c r="A1" s="112" t="str">
        <x:v>Priority rank</x:v>
      </x:c>
      <x:c r="B1" s="112" t="str">
        <x:v>Group</x:v>
      </x:c>
      <x:c r="C1" s="112" t="str">
        <x:v>TIC</x:v>
      </x:c>
      <x:c r="D1" s="112" t="str">
        <x:v>Object</x:v>
      </x:c>
      <x:c r="E1" s="112" t="str">
        <x:v>Sector</x:v>
      </x:c>
      <x:c r="F1" s="112" t="str">
        <x:v>Discovery route</x:v>
      </x:c>
      <x:c r="G1" s="112" t="str">
        <x:v>Camera</x:v>
      </x:c>
      <x:c r="H1" s="112" t="str">
        <x:v>CCD</x:v>
      </x:c>
      <x:c r="I1" s="112" t="str">
        <x:v>Tmag</x:v>
      </x:c>
      <x:c r="J1" s="112" t="str">
        <x:v>BLS anchor P [d]</x:v>
      </x:c>
      <x:c r="K1" s="112" t="str">
        <x:v>Morphology fold</x:v>
      </x:c>
      <x:c r="L1" s="112" t="str">
        <x:v>Morphology view P [d]</x:v>
      </x:c>
      <x:c r="M1" s="112" t="str">
        <x:v>Duration [min]</x:v>
      </x:c>
      <x:c r="N1" s="112" t="str">
        <x:v>ADP-small depth</x:v>
      </x:c>
      <x:c r="O1" s="112" t="str">
        <x:v>ADP-small SDE</x:v>
      </x:c>
      <x:c r="P1" s="112" t="str">
        <x:v>ADP-primary SDE</x:v>
      </x:c>
      <x:c r="Q1" s="112" t="str">
        <x:v>ADP period match</x:v>
      </x:c>
      <x:c r="R1" s="112" t="str">
        <x:v>Aperture ΔP/P</x:v>
      </x:c>
      <x:c r="S1" s="112" t="str">
        <x:v>Primary/small depth ratio</x:v>
      </x:c>
      <x:c r="T1" s="112" t="str">
        <x:v>ADP-small odd-even Δ [σ]</x:v>
      </x:c>
      <x:c r="U1" s="112" t="str">
        <x:v>ADP-primary odd-even Δ [σ]</x:v>
      </x:c>
      <x:c r="V1" s="112" t="str">
        <x:v>Max odd-even Δ [σ]</x:v>
      </x:c>
      <x:c r="W1" s="112" t="str">
        <x:v>Odd-even status</x:v>
      </x:c>
      <x:c r="X1" s="112" t="str">
        <x:v>Target QA</x:v>
      </x:c>
      <x:c r="Y1" s="112" t="str">
        <x:v>Tier-1 searchable</x:v>
      </x:c>
      <x:c r="Z1" s="112" t="str">
        <x:v>Priority note</x:v>
      </x:c>
      <x:c r="AA1" s="112" t="str">
        <x:v>Vetting sheet</x:v>
      </x:c>
      <x:c r="AB1" s="112" t="str">
        <x:v>Sheet SHA-256</x:v>
      </x:c>
      <x:c r="AC1" s="112" t="str">
        <x:v>Source batch</x:v>
      </x:c>
      <x:c r="AD1" s="112" t="str">
        <x:v>Review ID</x:v>
      </x:c>
    </x:row>
    <x:row r="2" ht="34" customHeight="1">
      <x:c r="A2" s="113" t="n">
        <x:v>1</x:v>
      </x:c>
      <x:c r="B2" s="71" t="str">
        <x:v>Benchmark</x:v>
      </x:c>
      <x:c r="C2" s="114" t="str">
        <x:v>267574918</x:v>
      </x:c>
      <x:c r="D2" s="71" t="str">
        <x:v>WD 1856 b</x:v>
      </x:c>
      <x:c r="E2" s="113" t="n">
        <x:v>56</x:v>
      </x:c>
      <x:c r="F2" s="113" t="str">
        <x:v>human-adjudicated</x:v>
      </x:c>
      <x:c r="G2" s="113" t="n">
        <x:v>4</x:v>
      </x:c>
      <x:c r="H2" s="113" t="n">
        <x:v>1</x:v>
      </x:c>
      <x:c r="I2" s="115" t="n">
        <x:v>16.32809539410892</x:v>
      </x:c>
      <x:c r="J2" s="116" t="n">
        <x:v>1.40784500927919</x:v>
      </x:c>
      <x:c r="K2" s="116" t="n">
        <x:v>1</x:v>
      </x:c>
      <x:c r="L2" s="116" t="n">
        <x:f>J2*K2</x:f>
        <x:v>1.40784500927919</x:v>
      </x:c>
      <x:c r="M2" s="113" t="n">
        <x:v>9</x:v>
      </x:c>
      <x:c r="N2" s="117" t="n">
        <x:v>0.0876924653842994</x:v>
      </x:c>
      <x:c r="O2" s="118" t="n">
        <x:v>65.37530711733262</x:v>
      </x:c>
      <x:c r="P2" s="118" t="n">
        <x:v>50.412376511630434</x:v>
      </x:c>
      <x:c r="Q2" s="71" t="str">
        <x:v>yes</x:v>
      </x:c>
      <x:c r="R2" s="119" t="n">
        <x:v>0</x:v>
      </x:c>
      <x:c r="S2" s="115" t="n">
        <x:v>2.7567661712084237</x:v>
      </x:c>
      <x:c r="T2" s="115" t="n">
        <x:v>1.389998124466438</x:v>
      </x:c>
      <x:c r="U2" s="115" t="n">
        <x:v>1.8085135900853149</x:v>
      </x:c>
      <x:c r="V2" s="115" t="n">
        <x:f>MAX(ABS(T2),ABS(U2))</x:f>
        <x:v>1.8085135900853149</x:v>
      </x:c>
      <x:c r="W2" s="71" t="str">
        <x:v>clear</x:v>
      </x:c>
      <x:c r="X2" s="71" t="str">
        <x:v>pass</x:v>
      </x:c>
      <x:c r="Y2" s="71" t="str">
        <x:v>yes</x:v>
      </x:c>
      <x:c r="Z2" s="120" t="str">
        <x:v>Confirmed WD 1856 b benchmark; recovered in both current ADP apertures.</x:v>
      </x:c>
      <x:c r="AA2" s="71" t="str">
        <x:v>01_TIC267574918_benchmark_current_adp.png</x:v>
      </x:c>
      <x:c r="AB2" s="71" t="str">
        <x:v>ee33d17d8f3ab99ec05b79f08bbc9fb6c3f3f7a443316283ebe97c8fbe812205</x:v>
      </x:c>
      <x:c r="AC2" s="71" t="str">
        <x:v>s56_adjudicated_real343</x:v>
      </x:c>
      <x:c r="AD2" s="71" t="str">
        <x:v>s0056-signal-final-fa319f28ac03d711</x:v>
      </x:c>
    </x:row>
    <x:row r="3" ht="34" customHeight="1">
      <x:c r="A3" s="113" t="n">
        <x:v>2</x:v>
      </x:c>
      <x:c r="B3" s="71" t="str">
        <x:v>A</x:v>
      </x:c>
      <x:c r="C3" s="114" t="str">
        <x:v>1400704733</x:v>
      </x:c>
      <x:c r="D3" s="71" t="str"/>
      <x:c r="E3" s="113" t="n">
        <x:v>56</x:v>
      </x:c>
      <x:c r="F3" s="113" t="str">
        <x:v>human-adjudicated</x:v>
      </x:c>
      <x:c r="G3" s="113" t="n">
        <x:v>4</x:v>
      </x:c>
      <x:c r="H3" s="113" t="n">
        <x:v>1</x:v>
      </x:c>
      <x:c r="I3" s="115" t="n">
        <x:v>17.266336908119737</x:v>
      </x:c>
      <x:c r="J3" s="116" t="n">
        <x:v>0.36370664167431</x:v>
      </x:c>
      <x:c r="K3" s="116" t="n">
        <x:v>1</x:v>
      </x:c>
      <x:c r="L3" s="116" t="n">
        <x:f>J3*K3</x:f>
        <x:v>0.36370664167431</x:v>
      </x:c>
      <x:c r="M3" s="113" t="n">
        <x:v>21</x:v>
      </x:c>
      <x:c r="N3" s="117" t="n">
        <x:v>0.2980507458718337</x:v>
      </x:c>
      <x:c r="O3" s="118" t="n">
        <x:v>386.8915296097825</x:v>
      </x:c>
      <x:c r="P3" s="118" t="n">
        <x:v>410.886586924887</x:v>
      </x:c>
      <x:c r="Q3" s="71" t="str">
        <x:v>yes</x:v>
      </x:c>
      <x:c r="R3" s="119" t="n">
        <x:v>0</x:v>
      </x:c>
      <x:c r="S3" s="115" t="n">
        <x:v>1.1315107170945398</x:v>
      </x:c>
      <x:c r="T3" s="115" t="n">
        <x:v>0.5643800458451028</x:v>
      </x:c>
      <x:c r="U3" s="115" t="n">
        <x:v>2.446984288740741</x:v>
      </x:c>
      <x:c r="V3" s="115" t="n">
        <x:f>MAX(ABS(T3),ABS(U3))</x:f>
        <x:v>2.446984288740741</x:v>
      </x:c>
      <x:c r="W3" s="71" t="str">
        <x:v>clear</x:v>
      </x:c>
      <x:c r="X3" s="71" t="str">
        <x:v>pass</x:v>
      </x:c>
      <x:c r="Y3" s="71" t="str">
        <x:v>yes</x:v>
      </x:c>
      <x:c r="Z3" s="120" t="str">
        <x:v>Current ADP apertures recover aligned periods; prioritize contamination and independent-extraction checks.</x:v>
      </x:c>
      <x:c r="AA3" s="71" t="str">
        <x:v>02_TIC1400704733_a_current_adp.png</x:v>
      </x:c>
      <x:c r="AB3" s="71" t="str">
        <x:v>c6bb95e2d5734d59abf1d42e04857169349861fa9641fc82581f3626602c79d3</x:v>
      </x:c>
      <x:c r="AC3" s="71" t="str">
        <x:v>s56_adjudicated_real343</x:v>
      </x:c>
      <x:c r="AD3" s="71" t="str">
        <x:v>s0056-signal-final-31edc7bc5fd7311d</x:v>
      </x:c>
    </x:row>
    <x:row r="4" ht="34" customHeight="1">
      <x:c r="A4" s="113" t="n">
        <x:v>3</x:v>
      </x:c>
      <x:c r="B4" s="71" t="str">
        <x:v>A</x:v>
      </x:c>
      <x:c r="C4" s="114" t="str">
        <x:v>160520962</x:v>
      </x:c>
      <x:c r="D4" s="71" t="str"/>
      <x:c r="E4" s="113" t="n">
        <x:v>56</x:v>
      </x:c>
      <x:c r="F4" s="113" t="str">
        <x:v>human-adjudicated</x:v>
      </x:c>
      <x:c r="G4" s="113" t="n">
        <x:v>4</x:v>
      </x:c>
      <x:c r="H4" s="113" t="n">
        <x:v>3</x:v>
      </x:c>
      <x:c r="I4" s="115" t="n">
        <x:v>17.072439667613146</x:v>
      </x:c>
      <x:c r="J4" s="116" t="n">
        <x:v>0.201801590141419</x:v>
      </x:c>
      <x:c r="K4" s="116" t="n">
        <x:v>1</x:v>
      </x:c>
      <x:c r="L4" s="116" t="n">
        <x:f>J4*K4</x:f>
        <x:v>0.201801590141419</x:v>
      </x:c>
      <x:c r="M4" s="113" t="n">
        <x:v>15</x:v>
      </x:c>
      <x:c r="N4" s="117" t="n">
        <x:v>0.0863478808517036</x:v>
      </x:c>
      <x:c r="O4" s="118" t="n">
        <x:v>318.4051941716266</x:v>
      </x:c>
      <x:c r="P4" s="118" t="n">
        <x:v>553.6270264905208</x:v>
      </x:c>
      <x:c r="Q4" s="71" t="str">
        <x:v>yes</x:v>
      </x:c>
      <x:c r="R4" s="119" t="n">
        <x:v>0.0000832771105085046</x:v>
      </x:c>
      <x:c r="S4" s="115" t="n">
        <x:v>3.9670985845447335</x:v>
      </x:c>
      <x:c r="T4" s="115" t="n">
        <x:v>1.4697159691729438</x:v>
      </x:c>
      <x:c r="U4" s="115" t="n">
        <x:v>0.3210829355081124</x:v>
      </x:c>
      <x:c r="V4" s="115" t="n">
        <x:f>MAX(ABS(T4),ABS(U4))</x:f>
        <x:v>1.4697159691729438</x:v>
      </x:c>
      <x:c r="W4" s="71" t="str">
        <x:v>clear</x:v>
      </x:c>
      <x:c r="X4" s="71" t="str">
        <x:v>pass</x:v>
      </x:c>
      <x:c r="Y4" s="71" t="str">
        <x:v>yes</x:v>
      </x:c>
      <x:c r="Z4" s="120" t="str">
        <x:v>Current ADP apertures recover aligned periods; prioritize contamination and independent-extraction checks.</x:v>
      </x:c>
      <x:c r="AA4" s="71" t="str">
        <x:v>03_TIC160520962_a_current_adp.png</x:v>
      </x:c>
      <x:c r="AB4" s="71" t="str">
        <x:v>7ff4d59361af8db6f411a3348e665422c39740f58b0b595e153a5f33ff8b3a07</x:v>
      </x:c>
      <x:c r="AC4" s="71" t="str">
        <x:v>s56_adjudicated_real343</x:v>
      </x:c>
      <x:c r="AD4" s="71" t="str">
        <x:v>s0056-signal-final-b49a8ea0b5026d93</x:v>
      </x:c>
    </x:row>
    <x:row r="5" ht="34" customHeight="1">
      <x:c r="A5" s="113" t="n">
        <x:v>4</x:v>
      </x:c>
      <x:c r="B5" s="71" t="str">
        <x:v>A</x:v>
      </x:c>
      <x:c r="C5" s="114" t="str">
        <x:v>2025450802</x:v>
      </x:c>
      <x:c r="D5" s="71" t="str"/>
      <x:c r="E5" s="113" t="n">
        <x:v>56</x:v>
      </x:c>
      <x:c r="F5" s="113" t="str">
        <x:v>human-adjudicated</x:v>
      </x:c>
      <x:c r="G5" s="113" t="n">
        <x:v>1</x:v>
      </x:c>
      <x:c r="H5" s="113" t="n">
        <x:v>2</x:v>
      </x:c>
      <x:c r="I5" s="115" t="n">
        <x:v>18.201774332612633</x:v>
      </x:c>
      <x:c r="J5" s="116" t="n">
        <x:v>0.217370542609268</x:v>
      </x:c>
      <x:c r="K5" s="116" t="n">
        <x:v>0.5</x:v>
      </x:c>
      <x:c r="L5" s="116" t="n">
        <x:f>J5*K5</x:f>
        <x:v>0.108685271304634</x:v>
      </x:c>
      <x:c r="M5" s="113" t="n">
        <x:v>15</x:v>
      </x:c>
      <x:c r="N5" s="117" t="n">
        <x:v>0.3623923081509237</x:v>
      </x:c>
      <x:c r="O5" s="118" t="n">
        <x:v>213.55007181818823</x:v>
      </x:c>
      <x:c r="P5" s="118" t="n">
        <x:v>238.92583434436975</x:v>
      </x:c>
      <x:c r="Q5" s="71" t="str">
        <x:v>yes</x:v>
      </x:c>
      <x:c r="R5" s="119" t="n">
        <x:v>0</x:v>
      </x:c>
      <x:c r="S5" s="115" t="n">
        <x:v>1.2282703843846652</x:v>
      </x:c>
      <x:c r="T5" s="115" t="n">
        <x:v>0.5239336150353046</x:v>
      </x:c>
      <x:c r="U5" s="115" t="n">
        <x:v>1.4456442291791287</x:v>
      </x:c>
      <x:c r="V5" s="115" t="n">
        <x:f>MAX(ABS(T5),ABS(U5))</x:f>
        <x:v>1.4456442291791287</x:v>
      </x:c>
      <x:c r="W5" s="71" t="str">
        <x:v>clear</x:v>
      </x:c>
      <x:c r="X5" s="71" t="str">
        <x:v>pass</x:v>
      </x:c>
      <x:c r="Y5" s="71" t="str">
        <x:v>yes</x:v>
      </x:c>
      <x:c r="Z5" s="120" t="str">
        <x:v>Current ADP apertures recover aligned periods; prioritize contamination and independent-extraction checks.</x:v>
      </x:c>
      <x:c r="AA5" s="71" t="str">
        <x:v>04_TIC2025450802_a_current_adp.png</x:v>
      </x:c>
      <x:c r="AB5" s="71" t="str">
        <x:v>1a9b4c2004e9b18d29eb199dbab35f14562cbbb542fed1300963eb683609f8f9</x:v>
      </x:c>
      <x:c r="AC5" s="71" t="str">
        <x:v>s56_adjudicated_real343</x:v>
      </x:c>
      <x:c r="AD5" s="71" t="str">
        <x:v>s0056-signal-final-ac9456ad58274d7e</x:v>
      </x:c>
    </x:row>
    <x:row r="6" ht="34" customHeight="1">
      <x:c r="A6" s="113" t="n">
        <x:v>5</x:v>
      </x:c>
      <x:c r="B6" s="71" t="str">
        <x:v>A</x:v>
      </x:c>
      <x:c r="C6" s="114" t="str">
        <x:v>1961800465</x:v>
      </x:c>
      <x:c r="D6" s="71" t="str"/>
      <x:c r="E6" s="113" t="n">
        <x:v>56</x:v>
      </x:c>
      <x:c r="F6" s="113" t="str">
        <x:v>human-adjudicated</x:v>
      </x:c>
      <x:c r="G6" s="113" t="n">
        <x:v>2</x:v>
      </x:c>
      <x:c r="H6" s="113" t="n">
        <x:v>2</x:v>
      </x:c>
      <x:c r="I6" s="115" t="n">
        <x:v>17.935045564422627</x:v>
      </x:c>
      <x:c r="J6" s="116" t="n">
        <x:v>0.141930509861125</x:v>
      </x:c>
      <x:c r="K6" s="116" t="n">
        <x:v>1</x:v>
      </x:c>
      <x:c r="L6" s="116" t="n">
        <x:f>J6*K6</x:f>
        <x:v>0.141930509861125</x:v>
      </x:c>
      <x:c r="M6" s="113" t="n">
        <x:v>12</x:v>
      </x:c>
      <x:c r="N6" s="117" t="n">
        <x:v>0.2215358698750775</x:v>
      </x:c>
      <x:c r="O6" s="118" t="n">
        <x:v>166.39897898825242</x:v>
      </x:c>
      <x:c r="P6" s="118" t="n">
        <x:v>187.3089126890984</x:v>
      </x:c>
      <x:c r="Q6" s="71" t="str">
        <x:v>yes</x:v>
      </x:c>
      <x:c r="R6" s="119" t="n">
        <x:v>0</x:v>
      </x:c>
      <x:c r="S6" s="115" t="n">
        <x:v>1.3702895075344448</x:v>
      </x:c>
      <x:c r="T6" s="115" t="n">
        <x:v>0.1616672732904795</x:v>
      </x:c>
      <x:c r="U6" s="115" t="n">
        <x:v>0.5749919056073756</x:v>
      </x:c>
      <x:c r="V6" s="115" t="n">
        <x:f>MAX(ABS(T6),ABS(U6))</x:f>
        <x:v>0.5749919056073756</x:v>
      </x:c>
      <x:c r="W6" s="71" t="str">
        <x:v>clear</x:v>
      </x:c>
      <x:c r="X6" s="71" t="str">
        <x:v>pass</x:v>
      </x:c>
      <x:c r="Y6" s="71" t="str">
        <x:v>yes</x:v>
      </x:c>
      <x:c r="Z6" s="120" t="str">
        <x:v>Current ADP apertures recover aligned periods; prioritize contamination and independent-extraction checks.</x:v>
      </x:c>
      <x:c r="AA6" s="71" t="str">
        <x:v>05_TIC1961800465_a_current_adp.png</x:v>
      </x:c>
      <x:c r="AB6" s="71" t="str">
        <x:v>be6e2dd456479b7e1d31437284e7646d683a5c4105edc336f7eb84737d397ce5</x:v>
      </x:c>
      <x:c r="AC6" s="71" t="str">
        <x:v>s56_adjudicated_real343</x:v>
      </x:c>
      <x:c r="AD6" s="71" t="str">
        <x:v>s0056-signal-final-6249fb8f79329475</x:v>
      </x:c>
    </x:row>
    <x:row r="7" ht="34" customHeight="1">
      <x:c r="A7" s="113" t="n">
        <x:v>6</x:v>
      </x:c>
      <x:c r="B7" s="71" t="str">
        <x:v>A</x:v>
      </x:c>
      <x:c r="C7" s="114" t="str">
        <x:v>1201294971</x:v>
      </x:c>
      <x:c r="D7" s="71" t="str"/>
      <x:c r="E7" s="113" t="n">
        <x:v>56</x:v>
      </x:c>
      <x:c r="F7" s="113" t="str">
        <x:v>human-adjudicated</x:v>
      </x:c>
      <x:c r="G7" s="113" t="n">
        <x:v>4</x:v>
      </x:c>
      <x:c r="H7" s="113" t="n">
        <x:v>3</x:v>
      </x:c>
      <x:c r="I7" s="115" t="n">
        <x:v>18.334432867190134</x:v>
      </x:c>
      <x:c r="J7" s="116" t="n">
        <x:v>0.286003649025262</x:v>
      </x:c>
      <x:c r="K7" s="116" t="n">
        <x:v>1</x:v>
      </x:c>
      <x:c r="L7" s="116" t="n">
        <x:f>J7*K7</x:f>
        <x:v>0.286003649025262</x:v>
      </x:c>
      <x:c r="M7" s="113" t="n">
        <x:v>12</x:v>
      </x:c>
      <x:c r="N7" s="117" t="n">
        <x:v>0.5141362831438064</x:v>
      </x:c>
      <x:c r="O7" s="118" t="n">
        <x:v>158.91675799183517</x:v>
      </x:c>
      <x:c r="P7" s="118" t="n">
        <x:v>219.87957422710065</x:v>
      </x:c>
      <x:c r="Q7" s="71" t="str">
        <x:v>yes</x:v>
      </x:c>
      <x:c r="R7" s="119" t="n">
        <x:v>0.0001180483827413</x:v>
      </x:c>
      <x:c r="S7" s="115" t="n">
        <x:v>1.1008364009401643</x:v>
      </x:c>
      <x:c r="T7" s="115" t="n">
        <x:v>0.3625397558387487</x:v>
      </x:c>
      <x:c r="U7" s="115" t="n">
        <x:v>0.6298098895312293</x:v>
      </x:c>
      <x:c r="V7" s="115" t="n">
        <x:f>MAX(ABS(T7),ABS(U7))</x:f>
        <x:v>0.6298098895312293</x:v>
      </x:c>
      <x:c r="W7" s="71" t="str">
        <x:v>clear</x:v>
      </x:c>
      <x:c r="X7" s="71" t="str">
        <x:v>pass</x:v>
      </x:c>
      <x:c r="Y7" s="71" t="str">
        <x:v>yes</x:v>
      </x:c>
      <x:c r="Z7" s="120" t="str">
        <x:v>Current ADP apertures recover aligned periods; prioritize contamination and independent-extraction checks.</x:v>
      </x:c>
      <x:c r="AA7" s="71" t="str">
        <x:v>06_TIC1201294971_a_current_adp.png</x:v>
      </x:c>
      <x:c r="AB7" s="71" t="str">
        <x:v>0daa7ec58f69073143672ed841e434a1afa9afbb6345c8c36c8ce22d009d5c3e</x:v>
      </x:c>
      <x:c r="AC7" s="71" t="str">
        <x:v>s56_adjudicated_real343</x:v>
      </x:c>
      <x:c r="AD7" s="71" t="str">
        <x:v>s0056-signal-final-3998c7adefa6536a</x:v>
      </x:c>
    </x:row>
    <x:row r="8" ht="34" customHeight="1">
      <x:c r="A8" s="113" t="n">
        <x:v>7</x:v>
      </x:c>
      <x:c r="B8" s="71" t="str">
        <x:v>A</x:v>
      </x:c>
      <x:c r="C8" s="114" t="str">
        <x:v>1400855795</x:v>
      </x:c>
      <x:c r="D8" s="71" t="str"/>
      <x:c r="E8" s="113" t="n">
        <x:v>56</x:v>
      </x:c>
      <x:c r="F8" s="113" t="str">
        <x:v>human-adjudicated</x:v>
      </x:c>
      <x:c r="G8" s="113" t="n">
        <x:v>4</x:v>
      </x:c>
      <x:c r="H8" s="113" t="n">
        <x:v>1</x:v>
      </x:c>
      <x:c r="I8" s="115" t="n">
        <x:v>18.73862389942366</x:v>
      </x:c>
      <x:c r="J8" s="116" t="n">
        <x:v>0.134017616824947</x:v>
      </x:c>
      <x:c r="K8" s="116" t="n">
        <x:v>0.5</x:v>
      </x:c>
      <x:c r="L8" s="116" t="n">
        <x:f>J8*K8</x:f>
        <x:v>0.0670088084124735</x:v>
      </x:c>
      <x:c r="M8" s="113" t="n">
        <x:v>9</x:v>
      </x:c>
      <x:c r="N8" s="117" t="n">
        <x:v>0.3020855580514109</x:v>
      </x:c>
      <x:c r="O8" s="118" t="n">
        <x:v>129.8750979410464</x:v>
      </x:c>
      <x:c r="P8" s="118" t="n">
        <x:v>91.61437079764114</x:v>
      </x:c>
      <x:c r="Q8" s="71" t="str">
        <x:v>yes</x:v>
      </x:c>
      <x:c r="R8" s="119" t="n">
        <x:v>0</x:v>
      </x:c>
      <x:c r="S8" s="115" t="n">
        <x:v>0.9715909325744456</x:v>
      </x:c>
      <x:c r="T8" s="115" t="n">
        <x:v>0.8728878750432255</x:v>
      </x:c>
      <x:c r="U8" s="115" t="n">
        <x:v>1.0693777879586592</x:v>
      </x:c>
      <x:c r="V8" s="115" t="n">
        <x:f>MAX(ABS(T8),ABS(U8))</x:f>
        <x:v>1.0693777879586592</x:v>
      </x:c>
      <x:c r="W8" s="71" t="str">
        <x:v>clear</x:v>
      </x:c>
      <x:c r="X8" s="71" t="str">
        <x:v>pass</x:v>
      </x:c>
      <x:c r="Y8" s="71" t="str">
        <x:v>yes</x:v>
      </x:c>
      <x:c r="Z8" s="120" t="str">
        <x:v>Current ADP apertures recover aligned periods; prioritize contamination and independent-extraction checks.</x:v>
      </x:c>
      <x:c r="AA8" s="71" t="str">
        <x:v>07_TIC1400855795_a_current_adp.png</x:v>
      </x:c>
      <x:c r="AB8" s="71" t="str">
        <x:v>7d381135b655098f8c4ea2df7c3bca24ce176d7ad34d46f08b6d5c517732ec23</x:v>
      </x:c>
      <x:c r="AC8" s="71" t="str">
        <x:v>s56_adjudicated_real343</x:v>
      </x:c>
      <x:c r="AD8" s="71" t="str">
        <x:v>s0056-signal-final-224ca258bb689cb3</x:v>
      </x:c>
    </x:row>
    <x:row r="9" ht="34" customHeight="1">
      <x:c r="A9" s="113" t="n">
        <x:v>8</x:v>
      </x:c>
      <x:c r="B9" s="71" t="str">
        <x:v>A</x:v>
      </x:c>
      <x:c r="C9" s="114" t="str">
        <x:v>1400739415</x:v>
      </x:c>
      <x:c r="D9" s="71" t="str"/>
      <x:c r="E9" s="113" t="n">
        <x:v>56</x:v>
      </x:c>
      <x:c r="F9" s="113" t="str">
        <x:v>human-adjudicated</x:v>
      </x:c>
      <x:c r="G9" s="113" t="n">
        <x:v>4</x:v>
      </x:c>
      <x:c r="H9" s="113" t="n">
        <x:v>1</x:v>
      </x:c>
      <x:c r="I9" s="115" t="n">
        <x:v>18.9043838951247</x:v>
      </x:c>
      <x:c r="J9" s="116" t="n">
        <x:v>0.127763731276688</x:v>
      </x:c>
      <x:c r="K9" s="116" t="n">
        <x:v>0.5</x:v>
      </x:c>
      <x:c r="L9" s="116" t="n">
        <x:f>J9*K9</x:f>
        <x:v>0.063881865638344</x:v>
      </x:c>
      <x:c r="M9" s="113" t="n">
        <x:v>9</x:v>
      </x:c>
      <x:c r="N9" s="117" t="n">
        <x:v>0.3979920500893514</x:v>
      </x:c>
      <x:c r="O9" s="118" t="n">
        <x:v>100.87732696090646</x:v>
      </x:c>
      <x:c r="P9" s="118" t="n">
        <x:v>78.22037960235365</x:v>
      </x:c>
      <x:c r="Q9" s="71" t="str">
        <x:v>yes</x:v>
      </x:c>
      <x:c r="R9" s="119" t="n">
        <x:v>0</x:v>
      </x:c>
      <x:c r="S9" s="115" t="n">
        <x:v>0.5485051953247484</x:v>
      </x:c>
      <x:c r="T9" s="115" t="n">
        <x:v>0.278223809610845</x:v>
      </x:c>
      <x:c r="U9" s="115" t="n">
        <x:v>0.0985257996671153</x:v>
      </x:c>
      <x:c r="V9" s="115" t="n">
        <x:f>MAX(ABS(T9),ABS(U9))</x:f>
        <x:v>0.278223809610845</x:v>
      </x:c>
      <x:c r="W9" s="71" t="str">
        <x:v>clear</x:v>
      </x:c>
      <x:c r="X9" s="71" t="str">
        <x:v>pass</x:v>
      </x:c>
      <x:c r="Y9" s="71" t="str">
        <x:v>yes</x:v>
      </x:c>
      <x:c r="Z9" s="120" t="str">
        <x:v>Current ADP apertures recover aligned periods; prioritize contamination and independent-extraction checks.</x:v>
      </x:c>
      <x:c r="AA9" s="71" t="str">
        <x:v>08_TIC1400739415_a_current_adp.png</x:v>
      </x:c>
      <x:c r="AB9" s="71" t="str">
        <x:v>e74271d2b0af65517e20f4bbdd70c8ad3cfdc5db6261f39762f513f30c246902</x:v>
      </x:c>
      <x:c r="AC9" s="71" t="str">
        <x:v>s56_adjudicated_real343</x:v>
      </x:c>
      <x:c r="AD9" s="71" t="str">
        <x:v>s0056-signal-final-4fa7b88399c2da0b</x:v>
      </x:c>
    </x:row>
    <x:row r="10" ht="34" customHeight="1">
      <x:c r="A10" s="113" t="n">
        <x:v>9</x:v>
      </x:c>
      <x:c r="B10" s="71" t="str">
        <x:v>A</x:v>
      </x:c>
      <x:c r="C10" s="114" t="str">
        <x:v>2025618479</x:v>
      </x:c>
      <x:c r="D10" s="71" t="str"/>
      <x:c r="E10" s="113" t="n">
        <x:v>56</x:v>
      </x:c>
      <x:c r="F10" s="113" t="str">
        <x:v>human-adjudicated</x:v>
      </x:c>
      <x:c r="G10" s="113" t="n">
        <x:v>1</x:v>
      </x:c>
      <x:c r="H10" s="113" t="n">
        <x:v>2</x:v>
      </x:c>
      <x:c r="I10" s="115" t="n">
        <x:v>18.50892252305514</x:v>
      </x:c>
      <x:c r="J10" s="116" t="n">
        <x:v>0.144460585019638</x:v>
      </x:c>
      <x:c r="K10" s="116" t="n">
        <x:v>1</x:v>
      </x:c>
      <x:c r="L10" s="116" t="n">
        <x:f>J10*K10</x:f>
        <x:v>0.144460585019638</x:v>
      </x:c>
      <x:c r="M10" s="113" t="n">
        <x:v>15</x:v>
      </x:c>
      <x:c r="N10" s="117" t="n">
        <x:v>0.3545074533556467</x:v>
      </x:c>
      <x:c r="O10" s="118" t="n">
        <x:v>240.00204815134464</x:v>
      </x:c>
      <x:c r="P10" s="118" t="n">
        <x:v>63.264415536758634</x:v>
      </x:c>
      <x:c r="Q10" s="71" t="str">
        <x:v>yes</x:v>
      </x:c>
      <x:c r="R10" s="119" t="n">
        <x:v>0</x:v>
      </x:c>
      <x:c r="S10" s="115" t="n">
        <x:v>1.1426730902593614</x:v>
      </x:c>
      <x:c r="T10" s="115" t="n">
        <x:v>0.4557605302273069</x:v>
      </x:c>
      <x:c r="U10" s="115" t="n">
        <x:v>2.0371893788399262</x:v>
      </x:c>
      <x:c r="V10" s="115" t="n">
        <x:f>MAX(ABS(T10),ABS(U10))</x:f>
        <x:v>2.0371893788399262</x:v>
      </x:c>
      <x:c r="W10" s="71" t="str">
        <x:v>clear</x:v>
      </x:c>
      <x:c r="X10" s="71" t="str">
        <x:v>pass</x:v>
      </x:c>
      <x:c r="Y10" s="71" t="str">
        <x:v>yes</x:v>
      </x:c>
      <x:c r="Z10" s="120" t="str">
        <x:v>Current ADP apertures recover aligned periods; prioritize contamination and independent-extraction checks.</x:v>
      </x:c>
      <x:c r="AA10" s="71" t="str">
        <x:v>09_TIC2025618479_a_current_adp.png</x:v>
      </x:c>
      <x:c r="AB10" s="71" t="str">
        <x:v>f23867f0bd36baf0a0f0105314a9efcbc49c6db949beb14f5ea05f62ec94e321</x:v>
      </x:c>
      <x:c r="AC10" s="71" t="str">
        <x:v>s56_adjudicated_real343</x:v>
      </x:c>
      <x:c r="AD10" s="71" t="str">
        <x:v>s0056-signal-final-b9878c04761d81f5</x:v>
      </x:c>
    </x:row>
    <x:row r="11" ht="34" customHeight="1">
      <x:c r="A11" s="113" t="n">
        <x:v>10</x:v>
      </x:c>
      <x:c r="B11" s="71" t="str">
        <x:v>A</x:v>
      </x:c>
      <x:c r="C11" s="114" t="str">
        <x:v>2002732115</x:v>
      </x:c>
      <x:c r="D11" s="71" t="str"/>
      <x:c r="E11" s="113" t="n">
        <x:v>56</x:v>
      </x:c>
      <x:c r="F11" s="113" t="str">
        <x:v>human-adjudicated</x:v>
      </x:c>
      <x:c r="G11" s="113" t="n">
        <x:v>2</x:v>
      </x:c>
      <x:c r="H11" s="113" t="n">
        <x:v>3</x:v>
      </x:c>
      <x:c r="I11" s="115" t="n">
        <x:v>19.129010195718024</x:v>
      </x:c>
      <x:c r="J11" s="116" t="n">
        <x:v>0.155253174099127</x:v>
      </x:c>
      <x:c r="K11" s="116" t="n">
        <x:v>0.5</x:v>
      </x:c>
      <x:c r="L11" s="116" t="n">
        <x:f>J11*K11</x:f>
        <x:v>0.0776265870495635</x:v>
      </x:c>
      <x:c r="M11" s="113" t="n">
        <x:v>6</x:v>
      </x:c>
      <x:c r="N11" s="117" t="n">
        <x:v>0.4447724468578107</x:v>
      </x:c>
      <x:c r="O11" s="118" t="n">
        <x:v>51.397579584754375</x:v>
      </x:c>
      <x:c r="P11" s="118" t="n">
        <x:v>43.907756331642275</x:v>
      </x:c>
      <x:c r="Q11" s="71" t="str">
        <x:v>yes</x:v>
      </x:c>
      <x:c r="R11" s="119" t="n">
        <x:v>0</x:v>
      </x:c>
      <x:c r="S11" s="115" t="n">
        <x:v>0.721847996232435</x:v>
      </x:c>
      <x:c r="T11" s="115" t="n">
        <x:v>1.3855588834610473</x:v>
      </x:c>
      <x:c r="U11" s="115" t="n">
        <x:v>2.5262962178405544</x:v>
      </x:c>
      <x:c r="V11" s="115" t="n">
        <x:f>MAX(ABS(T11),ABS(U11))</x:f>
        <x:v>2.5262962178405544</x:v>
      </x:c>
      <x:c r="W11" s="71" t="str">
        <x:v>clear</x:v>
      </x:c>
      <x:c r="X11" s="71" t="str">
        <x:v>pass</x:v>
      </x:c>
      <x:c r="Y11" s="71" t="str">
        <x:v>yes</x:v>
      </x:c>
      <x:c r="Z11" s="120" t="str">
        <x:v>Current ADP apertures recover aligned periods; prioritize contamination and independent-extraction checks.</x:v>
      </x:c>
      <x:c r="AA11" s="71" t="str">
        <x:v>10_TIC2002732115_a_current_adp.png</x:v>
      </x:c>
      <x:c r="AB11" s="71" t="str">
        <x:v>220d71b8b5bb552372339695875175f3fc82e1cd6dd0101ee781d13f67d9ab6d</x:v>
      </x:c>
      <x:c r="AC11" s="71" t="str">
        <x:v>s56_adjudicated_real343</x:v>
      </x:c>
      <x:c r="AD11" s="71" t="str">
        <x:v>s0056-signal-final-a6f2a9615fe1660b</x:v>
      </x:c>
    </x:row>
    <x:row r="12" ht="34" customHeight="1">
      <x:c r="A12" s="113" t="n">
        <x:v>11</x:v>
      </x:c>
      <x:c r="B12" s="71" t="str">
        <x:v>A</x:v>
      </x:c>
      <x:c r="C12" s="114" t="str">
        <x:v>1883349930</x:v>
      </x:c>
      <x:c r="D12" s="71" t="str"/>
      <x:c r="E12" s="113" t="n">
        <x:v>56</x:v>
      </x:c>
      <x:c r="F12" s="113" t="str">
        <x:v>human-adjudicated</x:v>
      </x:c>
      <x:c r="G12" s="113" t="n">
        <x:v>3</x:v>
      </x:c>
      <x:c r="H12" s="113" t="n">
        <x:v>4</x:v>
      </x:c>
      <x:c r="I12" s="115" t="n">
        <x:v>18.22321356586298</x:v>
      </x:c>
      <x:c r="J12" s="116" t="n">
        <x:v>0.125189328098048</x:v>
      </x:c>
      <x:c r="K12" s="116" t="n">
        <x:v>0.5</x:v>
      </x:c>
      <x:c r="L12" s="116" t="n">
        <x:f>J12*K12</x:f>
        <x:v>0.062594664049024</x:v>
      </x:c>
      <x:c r="M12" s="113" t="n">
        <x:v>6</x:v>
      </x:c>
      <x:c r="N12" s="117" t="n">
        <x:v>0.1885895192766955</x:v>
      </x:c>
      <x:c r="O12" s="118" t="n">
        <x:v>67.6494663033465</x:v>
      </x:c>
      <x:c r="P12" s="118" t="n">
        <x:v>34.808463080067014</x:v>
      </x:c>
      <x:c r="Q12" s="71" t="str">
        <x:v>yes</x:v>
      </x:c>
      <x:c r="R12" s="119" t="n">
        <x:v>0</x:v>
      </x:c>
      <x:c r="S12" s="115" t="n">
        <x:v>0.6709619478365069</x:v>
      </x:c>
      <x:c r="T12" s="115" t="n">
        <x:v>0.69444212684957</x:v>
      </x:c>
      <x:c r="U12" s="115" t="n">
        <x:v>0.4654984220190098</x:v>
      </x:c>
      <x:c r="V12" s="115" t="n">
        <x:f>MAX(ABS(T12),ABS(U12))</x:f>
        <x:v>0.69444212684957</x:v>
      </x:c>
      <x:c r="W12" s="71" t="str">
        <x:v>clear</x:v>
      </x:c>
      <x:c r="X12" s="71" t="str">
        <x:v>pass</x:v>
      </x:c>
      <x:c r="Y12" s="71" t="str">
        <x:v>yes</x:v>
      </x:c>
      <x:c r="Z12" s="120" t="str">
        <x:v>Current ADP apertures recover aligned periods; prioritize contamination and independent-extraction checks.</x:v>
      </x:c>
      <x:c r="AA12" s="71" t="str">
        <x:v>11_TIC1883349930_a_current_adp.png</x:v>
      </x:c>
      <x:c r="AB12" s="71" t="str">
        <x:v>27ea95b52529cfd2c512ca58ef8323b012f836cfb2b319ca80541e35da79e270</x:v>
      </x:c>
      <x:c r="AC12" s="71" t="str">
        <x:v>s56_adjudicated_real343</x:v>
      </x:c>
      <x:c r="AD12" s="71" t="str">
        <x:v>s0056-signal-final-30728c379acf5b98</x:v>
      </x:c>
    </x:row>
    <x:row r="13" ht="34" customHeight="1">
      <x:c r="A13" s="113" t="n">
        <x:v>12</x:v>
      </x:c>
      <x:c r="B13" s="71" t="str">
        <x:v>A</x:v>
      </x:c>
      <x:c r="C13" s="114" t="str">
        <x:v>1979515854</x:v>
      </x:c>
      <x:c r="D13" s="71" t="str"/>
      <x:c r="E13" s="113" t="n">
        <x:v>56</x:v>
      </x:c>
      <x:c r="F13" s="113" t="str">
        <x:v>human-adjudicated</x:v>
      </x:c>
      <x:c r="G13" s="113" t="n">
        <x:v>3</x:v>
      </x:c>
      <x:c r="H13" s="113" t="n">
        <x:v>3</x:v>
      </x:c>
      <x:c r="I13" s="115" t="n">
        <x:v>19.608183763767137</x:v>
      </x:c>
      <x:c r="J13" s="116" t="n">
        <x:v>0.152124350993941</x:v>
      </x:c>
      <x:c r="K13" s="116" t="n">
        <x:v>1</x:v>
      </x:c>
      <x:c r="L13" s="116" t="n">
        <x:f>J13*K13</x:f>
        <x:v>0.152124350993941</x:v>
      </x:c>
      <x:c r="M13" s="113" t="n">
        <x:v>15</x:v>
      </x:c>
      <x:c r="N13" s="117" t="n">
        <x:v>0.2641263479472908</x:v>
      </x:c>
      <x:c r="O13" s="118" t="n">
        <x:v>45.677376080219865</x:v>
      </x:c>
      <x:c r="P13" s="118" t="n">
        <x:v>26.072276123045793</x:v>
      </x:c>
      <x:c r="Q13" s="71" t="str">
        <x:v>yes</x:v>
      </x:c>
      <x:c r="R13" s="119" t="n">
        <x:v>0</x:v>
      </x:c>
      <x:c r="S13" s="115" t="n">
        <x:v>0.4555598246875963</x:v>
      </x:c>
      <x:c r="T13" s="115" t="n">
        <x:v>0.5296447950019734</x:v>
      </x:c>
      <x:c r="U13" s="115" t="n">
        <x:v>0.0188848477743392</x:v>
      </x:c>
      <x:c r="V13" s="115" t="n">
        <x:f>MAX(ABS(T13),ABS(U13))</x:f>
        <x:v>0.5296447950019734</x:v>
      </x:c>
      <x:c r="W13" s="71" t="str">
        <x:v>clear</x:v>
      </x:c>
      <x:c r="X13" s="71" t="str">
        <x:v>pass</x:v>
      </x:c>
      <x:c r="Y13" s="71" t="str">
        <x:v>yes</x:v>
      </x:c>
      <x:c r="Z13" s="120" t="str">
        <x:v>Current ADP apertures recover aligned periods; prioritize contamination and independent-extraction checks.</x:v>
      </x:c>
      <x:c r="AA13" s="71" t="str">
        <x:v>12_TIC1979515854_a_current_adp.png</x:v>
      </x:c>
      <x:c r="AB13" s="71" t="str">
        <x:v>e730bf409fb5c6f4aa9ef870c2872d4564607c88f7d81534ae9fead4cdec7a7e</x:v>
      </x:c>
      <x:c r="AC13" s="71" t="str">
        <x:v>s56_adjudicated_real343</x:v>
      </x:c>
      <x:c r="AD13" s="71" t="str">
        <x:v>s0056-signal-final-2765f59917273bd4</x:v>
      </x:c>
    </x:row>
    <x:row r="14" ht="34" customHeight="1">
      <x:c r="A14" s="113" t="n">
        <x:v>13</x:v>
      </x:c>
      <x:c r="B14" s="71" t="str">
        <x:v>A</x:v>
      </x:c>
      <x:c r="C14" s="114" t="str">
        <x:v>2040364939</x:v>
      </x:c>
      <x:c r="D14" s="71" t="str"/>
      <x:c r="E14" s="113" t="n">
        <x:v>56</x:v>
      </x:c>
      <x:c r="F14" s="113" t="str">
        <x:v>model-enriched, human-confirmed</x:v>
      </x:c>
      <x:c r="G14" s="113" t="n">
        <x:v>2</x:v>
      </x:c>
      <x:c r="H14" s="113" t="n">
        <x:v>4</x:v>
      </x:c>
      <x:c r="I14" s="115" t="n">
        <x:v>20.0374150355085</x:v>
      </x:c>
      <x:c r="J14" s="116" t="n">
        <x:v>0.996935012876291</x:v>
      </x:c>
      <x:c r="K14" s="116" t="n">
        <x:v>1</x:v>
      </x:c>
      <x:c r="L14" s="116" t="n">
        <x:f>J14*K14</x:f>
        <x:v>0.996935012876291</x:v>
      </x:c>
      <x:c r="M14" s="113" t="n">
        <x:v>21</x:v>
      </x:c>
      <x:c r="N14" s="117" t="n">
        <x:v>0.1428131725846138</x:v>
      </x:c>
      <x:c r="O14" s="118" t="n">
        <x:v>7.464428760254251</x:v>
      </x:c>
      <x:c r="P14" s="118" t="n">
        <x:v>17.466145317992577</x:v>
      </x:c>
      <x:c r="Q14" s="71" t="str">
        <x:v>yes</x:v>
      </x:c>
      <x:c r="R14" s="119" t="n">
        <x:v>0.0084690096252341</x:v>
      </x:c>
      <x:c r="S14" s="115" t="n">
        <x:v>0.1383270510948867</x:v>
      </x:c>
      <x:c r="T14" s="115" t="n">
        <x:v>0.4745229245407591</x:v>
      </x:c>
      <x:c r="U14" s="115" t="n">
        <x:v>1.2305990661009945</x:v>
      </x:c>
      <x:c r="V14" s="115" t="n">
        <x:f>MAX(ABS(T14),ABS(U14))</x:f>
        <x:v>1.2305990661009945</x:v>
      </x:c>
      <x:c r="W14" s="71" t="str">
        <x:v>clear</x:v>
      </x:c>
      <x:c r="X14" s="71" t="str">
        <x:v>pass</x:v>
      </x:c>
      <x:c r="Y14" s="71" t="str">
        <x:v>yes</x:v>
      </x:c>
      <x:c r="Z14" s="120" t="str">
        <x:v>Current ADP apertures recover aligned periods; prioritize contamination and independent-extraction checks.</x:v>
      </x:c>
      <x:c r="AA14" s="71" t="str">
        <x:v>13_TIC2040364939_a_current_adp.png</x:v>
      </x:c>
      <x:c r="AB14" s="71" t="str">
        <x:v>e9c08eb077facba11e64ecd5671b662cec03efef9486d052d98a57428c258dee</x:v>
      </x:c>
      <x:c r="AC14" s="71" t="str">
        <x:v>s56_compact_planet_revisit_407</x:v>
      </x:c>
      <x:c r="AD14" s="71" t="str">
        <x:v>s0056-signal-final-b6f5f50e065449fb</x:v>
      </x:c>
    </x:row>
    <x:row r="15" ht="34" customHeight="1">
      <x:c r="A15" s="113" t="n">
        <x:v>14</x:v>
      </x:c>
      <x:c r="B15" s="71" t="str">
        <x:v>B</x:v>
      </x:c>
      <x:c r="C15" s="114" t="str">
        <x:v>2003242089</x:v>
      </x:c>
      <x:c r="D15" s="71" t="str"/>
      <x:c r="E15" s="113" t="n">
        <x:v>56</x:v>
      </x:c>
      <x:c r="F15" s="113" t="str">
        <x:v>model-enriched, human-confirmed</x:v>
      </x:c>
      <x:c r="G15" s="113" t="n">
        <x:v>2</x:v>
      </x:c>
      <x:c r="H15" s="113" t="n">
        <x:v>3</x:v>
      </x:c>
      <x:c r="I15" s="115" t="n">
        <x:v>19.67075772990445</x:v>
      </x:c>
      <x:c r="J15" s="116" t="n">
        <x:v>0.95324447632351</x:v>
      </x:c>
      <x:c r="K15" s="116" t="n">
        <x:v>1</x:v>
      </x:c>
      <x:c r="L15" s="116" t="n">
        <x:f>J15*K15</x:f>
        <x:v>0.95324447632351</x:v>
      </x:c>
      <x:c r="M15" s="113" t="n">
        <x:v>3</x:v>
      </x:c>
      <x:c r="N15" s="117" t="n">
        <x:v>0.2154235468399723</x:v>
      </x:c>
      <x:c r="O15" s="118" t="n">
        <x:v>8.821139478689597</x:v>
      </x:c>
      <x:c r="P15" s="118" t="n">
        <x:v>10.17826189926532</x:v>
      </x:c>
      <x:c r="Q15" s="71" t="str">
        <x:v>no</x:v>
      </x:c>
      <x:c r="R15" s="119" t="n">
        <x:v>0.593350554566416</x:v>
      </x:c>
      <x:c r="S15" s="115" t="n">
        <x:v>0.3513307571141558</x:v>
      </x:c>
      <x:c r="T15" s="115" t="n">
        <x:v>0.5859167058735032</x:v>
      </x:c>
      <x:c r="U15" s="115" t="n">
        <x:v>0.7382963881131079</x:v>
      </x:c>
      <x:c r="V15" s="115" t="n">
        <x:f>MAX(ABS(T15),ABS(U15))</x:f>
        <x:v>0.7382963881131079</x:v>
      </x:c>
      <x:c r="W15" s="71" t="str">
        <x:v>clear</x:v>
      </x:c>
      <x:c r="X15" s="71" t="str">
        <x:v>pass</x:v>
      </x:c>
      <x:c r="Y15" s="71" t="str">
        <x:v>yes</x:v>
      </x:c>
      <x:c r="Z15" s="120" t="str">
        <x:v>Planet-like in the small search aperture, but the current primary aperture prefers a different period.</x:v>
      </x:c>
      <x:c r="AA15" s="71" t="str">
        <x:v>14_TIC2003242089_b_current_adp.png</x:v>
      </x:c>
      <x:c r="AB15" s="71" t="str">
        <x:v>18a383fc9d91b7874af14fb0b1d01397c4a23e0957b24660a38e4da9386661c8</x:v>
      </x:c>
      <x:c r="AC15" s="71" t="str">
        <x:v>s56_compact_planet_revisit_407</x:v>
      </x:c>
      <x:c r="AD15" s="71" t="str">
        <x:v>s0056-signal-final-64f323ad5bcc0e36</x:v>
      </x:c>
    </x:row>
    <x:row r="16" ht="34" customHeight="1">
      <x:c r="A16" s="113" t="n">
        <x:v>15</x:v>
      </x:c>
      <x:c r="B16" s="71" t="str">
        <x:v>B</x:v>
      </x:c>
      <x:c r="C16" s="114" t="str">
        <x:v>2040434684</x:v>
      </x:c>
      <x:c r="D16" s="71" t="str"/>
      <x:c r="E16" s="113" t="n">
        <x:v>56</x:v>
      </x:c>
      <x:c r="F16" s="113" t="str">
        <x:v>model-enriched, human-confirmed</x:v>
      </x:c>
      <x:c r="G16" s="113" t="n">
        <x:v>2</x:v>
      </x:c>
      <x:c r="H16" s="113" t="n">
        <x:v>4</x:v>
      </x:c>
      <x:c r="I16" s="115" t="n">
        <x:v>20.323267488909227</x:v>
      </x:c>
      <x:c r="J16" s="116" t="n">
        <x:v>0.764401743855583</x:v>
      </x:c>
      <x:c r="K16" s="116" t="n">
        <x:v>1</x:v>
      </x:c>
      <x:c r="L16" s="116" t="n">
        <x:f>J16*K16</x:f>
        <x:v>0.764401743855583</x:v>
      </x:c>
      <x:c r="M16" s="113" t="n">
        <x:v>3</x:v>
      </x:c>
      <x:c r="N16" s="117" t="n">
        <x:v>0.2623042995203723</x:v>
      </x:c>
      <x:c r="O16" s="118" t="n">
        <x:v>8.384890698556655</x:v>
      </x:c>
      <x:c r="P16" s="118" t="n">
        <x:v>9.761020137077404</x:v>
      </x:c>
      <x:c r="Q16" s="71" t="str">
        <x:v>no</x:v>
      </x:c>
      <x:c r="R16" s="119" t="n">
        <x:v>17.35368775493324</x:v>
      </x:c>
      <x:c r="S16" s="115" t="n">
        <x:v>0.0781339414819179</x:v>
      </x:c>
      <x:c r="T16" s="115" t="n">
        <x:v>1.1634462186967949</x:v>
      </x:c>
      <x:c r="U16" s="115" t="n">
        <x:v>0.1962211906158693</x:v>
      </x:c>
      <x:c r="V16" s="115" t="n">
        <x:f>MAX(ABS(T16),ABS(U16))</x:f>
        <x:v>1.1634462186967949</x:v>
      </x:c>
      <x:c r="W16" s="71" t="str">
        <x:v>clear</x:v>
      </x:c>
      <x:c r="X16" s="71" t="str">
        <x:v>pass</x:v>
      </x:c>
      <x:c r="Y16" s="71" t="str">
        <x:v>yes</x:v>
      </x:c>
      <x:c r="Z16" s="120" t="str">
        <x:v>Planet-like in the small search aperture, but the current primary aperture prefers a different period.</x:v>
      </x:c>
      <x:c r="AA16" s="71" t="str">
        <x:v>15_TIC2040434684_b_current_adp.png</x:v>
      </x:c>
      <x:c r="AB16" s="71" t="str">
        <x:v>3bab257a542d1164c5c4a30e9f674633ed50714e5799229164cc7c7c3381f35b</x:v>
      </x:c>
      <x:c r="AC16" s="71" t="str">
        <x:v>s56_compact_planet_revisit_407</x:v>
      </x:c>
      <x:c r="AD16" s="71" t="str">
        <x:v>s0056-signal-final-20a4b01701676324</x:v>
      </x:c>
    </x:row>
    <x:row r="17" ht="34" customHeight="1">
      <x:c r="A17" s="113" t="n">
        <x:v>16</x:v>
      </x:c>
      <x:c r="B17" s="71" t="str">
        <x:v>B</x:v>
      </x:c>
      <x:c r="C17" s="114" t="str">
        <x:v>1884114805</x:v>
      </x:c>
      <x:c r="D17" s="71" t="str"/>
      <x:c r="E17" s="113" t="n">
        <x:v>56</x:v>
      </x:c>
      <x:c r="F17" s="113" t="str">
        <x:v>model-enriched, human-confirmed</x:v>
      </x:c>
      <x:c r="G17" s="113" t="n">
        <x:v>4</x:v>
      </x:c>
      <x:c r="H17" s="113" t="n">
        <x:v>1</x:v>
      </x:c>
      <x:c r="I17" s="115" t="n">
        <x:v>19.68535750548071</x:v>
      </x:c>
      <x:c r="J17" s="116" t="n">
        <x:v>0.185225660181984</x:v>
      </x:c>
      <x:c r="K17" s="116" t="n">
        <x:v>1</x:v>
      </x:c>
      <x:c r="L17" s="116" t="n">
        <x:f>J17*K17</x:f>
        <x:v>0.185225660181984</x:v>
      </x:c>
      <x:c r="M17" s="113" t="n">
        <x:v>3</x:v>
      </x:c>
      <x:c r="N17" s="117" t="n">
        <x:v>0.2021807308987174</x:v>
      </x:c>
      <x:c r="O17" s="118" t="n">
        <x:v>7.535931692201805</x:v>
      </x:c>
      <x:c r="P17" s="118" t="n">
        <x:v>6.5639684568271806</x:v>
      </x:c>
      <x:c r="Q17" s="71" t="str">
        <x:v>no</x:v>
      </x:c>
      <x:c r="R17" s="119" t="n">
        <x:v>14.039379826786902</x:v>
      </x:c>
      <x:c r="S17" s="115" t="n">
        <x:v>0.386814424515255</x:v>
      </x:c>
      <x:c r="T17" s="115" t="n">
        <x:v>0.085664646361058</x:v>
      </x:c>
      <x:c r="U17" s="115" t="n">
        <x:v>0.9903741923079904</x:v>
      </x:c>
      <x:c r="V17" s="115" t="n">
        <x:f>MAX(ABS(T17),ABS(U17))</x:f>
        <x:v>0.9903741923079904</x:v>
      </x:c>
      <x:c r="W17" s="71" t="str">
        <x:v>clear</x:v>
      </x:c>
      <x:c r="X17" s="71" t="str">
        <x:v>pass</x:v>
      </x:c>
      <x:c r="Y17" s="71" t="str">
        <x:v>yes</x:v>
      </x:c>
      <x:c r="Z17" s="120" t="str">
        <x:v>Planet-like in the small search aperture, but the current primary aperture prefers a different period.</x:v>
      </x:c>
      <x:c r="AA17" s="71" t="str">
        <x:v>16_TIC1884114805_b_current_adp.png</x:v>
      </x:c>
      <x:c r="AB17" s="71" t="str">
        <x:v>53871b12e4edd0b4b906806d7e84f24454f7296e6eb14fb2148dcd15fd6dbe3c</x:v>
      </x:c>
      <x:c r="AC17" s="71" t="str">
        <x:v>s56_compact_planet_revisit_407</x:v>
      </x:c>
      <x:c r="AD17" s="71" t="str">
        <x:v>s0056-signal-final-32e75056806c74d0</x:v>
      </x:c>
    </x:row>
    <x:row r="18" ht="34" customHeight="1">
      <x:c r="A18" s="113" t="n">
        <x:v>17</x:v>
      </x:c>
      <x:c r="B18" s="71" t="str">
        <x:v>B</x:v>
      </x:c>
      <x:c r="C18" s="114" t="str">
        <x:v>2013972572</x:v>
      </x:c>
      <x:c r="D18" s="71" t="str"/>
      <x:c r="E18" s="113" t="n">
        <x:v>56</x:v>
      </x:c>
      <x:c r="F18" s="113" t="str">
        <x:v>model-enriched, human-confirmed</x:v>
      </x:c>
      <x:c r="G18" s="113" t="n">
        <x:v>3</x:v>
      </x:c>
      <x:c r="H18" s="113" t="n">
        <x:v>2</x:v>
      </x:c>
      <x:c r="I18" s="115" t="n">
        <x:v>20.40032545558906</x:v>
      </x:c>
      <x:c r="J18" s="116" t="n">
        <x:v>5.36085948955052</x:v>
      </x:c>
      <x:c r="K18" s="116" t="n">
        <x:v>1</x:v>
      </x:c>
      <x:c r="L18" s="116" t="n">
        <x:f>J18*K18</x:f>
        <x:v>5.36085948955052</x:v>
      </x:c>
      <x:c r="M18" s="113" t="n">
        <x:v>3</x:v>
      </x:c>
      <x:c r="N18" s="117" t="n">
        <x:v>0.4029736941994579</x:v>
      </x:c>
      <x:c r="O18" s="118" t="n">
        <x:v>7.053162592613133</x:v>
      </x:c>
      <x:c r="P18" s="118" t="n">
        <x:v>12.344790365844798</x:v>
      </x:c>
      <x:c r="Q18" s="71" t="str">
        <x:v>no</x:v>
      </x:c>
      <x:c r="R18" s="119" t="n">
        <x:v>2.0271449913749047</x:v>
      </x:c>
      <x:c r="S18" s="115" t="n">
        <x:v>0.1005432179550314</x:v>
      </x:c>
      <x:c r="T18" s="115" t="n">
        <x:v>0.7882587789175339</x:v>
      </x:c>
      <x:c r="U18" s="115"/>
      <x:c r="V18" s="115" t="n">
        <x:f>MAX(ABS(T18),ABS(U18))</x:f>
        <x:v>0.7882587789175339</x:v>
      </x:c>
      <x:c r="W18" s="71" t="str">
        <x:v>clear</x:v>
      </x:c>
      <x:c r="X18" s="71" t="str">
        <x:v>pass</x:v>
      </x:c>
      <x:c r="Y18" s="71" t="str">
        <x:v>yes</x:v>
      </x:c>
      <x:c r="Z18" s="120" t="str">
        <x:v>Planet-like in the small search aperture, but the current primary aperture prefers a different period.</x:v>
      </x:c>
      <x:c r="AA18" s="71" t="str">
        <x:v>17_TIC2013972572_b_current_adp.png</x:v>
      </x:c>
      <x:c r="AB18" s="71" t="str">
        <x:v>3534ba466ec32d3a12b75a7733f846a2471c4f4b8b62eb899c8a4d5892632265</x:v>
      </x:c>
      <x:c r="AC18" s="71" t="str">
        <x:v>s56_compact_planet_revisit_407</x:v>
      </x:c>
      <x:c r="AD18" s="71" t="str">
        <x:v>s0056-signal-final-13d7e6193aaf70eb</x:v>
      </x:c>
    </x:row>
    <x:row r="19" ht="34" customHeight="1">
      <x:c r="A19" s="113" t="n">
        <x:v>18</x:v>
      </x:c>
      <x:c r="B19" s="71" t="str">
        <x:v>B</x:v>
      </x:c>
      <x:c r="C19" s="114" t="str">
        <x:v>1882050598</x:v>
      </x:c>
      <x:c r="D19" s="71" t="str"/>
      <x:c r="E19" s="113" t="n">
        <x:v>56</x:v>
      </x:c>
      <x:c r="F19" s="113" t="str">
        <x:v>model-enriched, human-confirmed</x:v>
      </x:c>
      <x:c r="G19" s="113" t="n">
        <x:v>3</x:v>
      </x:c>
      <x:c r="H19" s="113" t="n">
        <x:v>4</x:v>
      </x:c>
      <x:c r="I19" s="115" t="n">
        <x:v>19.9099386529503</x:v>
      </x:c>
      <x:c r="J19" s="116" t="n">
        <x:v>0.177125037399473</x:v>
      </x:c>
      <x:c r="K19" s="116" t="n">
        <x:v>1</x:v>
      </x:c>
      <x:c r="L19" s="116" t="n">
        <x:f>J19*K19</x:f>
        <x:v>0.177125037399473</x:v>
      </x:c>
      <x:c r="M19" s="113" t="n">
        <x:v>3</x:v>
      </x:c>
      <x:c r="N19" s="117" t="n">
        <x:v>1.0862073720028895</x:v>
      </x:c>
      <x:c r="O19" s="118" t="n">
        <x:v>6.9807207915901905</x:v>
      </x:c>
      <x:c r="P19" s="118" t="n">
        <x:v>13.127602907296197</x:v>
      </x:c>
      <x:c r="Q19" s="71" t="str">
        <x:v>no</x:v>
      </x:c>
      <x:c r="R19" s="119" t="n">
        <x:v>0.8927565369940275</x:v>
      </x:c>
      <x:c r="S19" s="115" t="n">
        <x:v>0.4781927037558124</x:v>
      </x:c>
      <x:c r="T19" s="115" t="n">
        <x:v>2.3738422960465737</x:v>
      </x:c>
      <x:c r="U19" s="115" t="n">
        <x:v>1.528943612291256</x:v>
      </x:c>
      <x:c r="V19" s="115" t="n">
        <x:f>MAX(ABS(T19),ABS(U19))</x:f>
        <x:v>2.3738422960465737</x:v>
      </x:c>
      <x:c r="W19" s="71" t="str">
        <x:v>clear</x:v>
      </x:c>
      <x:c r="X19" s="71" t="str">
        <x:v>pass</x:v>
      </x:c>
      <x:c r="Y19" s="71" t="str">
        <x:v>yes</x:v>
      </x:c>
      <x:c r="Z19" s="120" t="str">
        <x:v>Planet-like in the small search aperture, but the current primary aperture prefers a different period.</x:v>
      </x:c>
      <x:c r="AA19" s="71" t="str">
        <x:v>18_TIC1882050598_b_current_adp.png</x:v>
      </x:c>
      <x:c r="AB19" s="71" t="str">
        <x:v>17150ac3fad6c5edce743d2c8930372dc2700b01869299072de4fa584cbda470</x:v>
      </x:c>
      <x:c r="AC19" s="71" t="str">
        <x:v>s56_compact_planet_revisit_407</x:v>
      </x:c>
      <x:c r="AD19" s="71" t="str">
        <x:v>s0056-signal-final-7eaf546568eb9e50</x:v>
      </x:c>
    </x:row>
    <x:row r="20" ht="34" customHeight="1">
      <x:c r="A20" s="113" t="n">
        <x:v>19</x:v>
      </x:c>
      <x:c r="B20" s="71" t="str">
        <x:v>B</x:v>
      </x:c>
      <x:c r="C20" s="114" t="str">
        <x:v>2001273871</x:v>
      </x:c>
      <x:c r="D20" s="71" t="str"/>
      <x:c r="E20" s="113" t="n">
        <x:v>56</x:v>
      </x:c>
      <x:c r="F20" s="113" t="str">
        <x:v>model-enriched, human-confirmed</x:v>
      </x:c>
      <x:c r="G20" s="113" t="n">
        <x:v>2</x:v>
      </x:c>
      <x:c r="H20" s="113" t="n">
        <x:v>3</x:v>
      </x:c>
      <x:c r="I20" s="115" t="n">
        <x:v>19.753364766560036</x:v>
      </x:c>
      <x:c r="J20" s="116" t="n">
        <x:v>0.478420880166514</x:v>
      </x:c>
      <x:c r="K20" s="116" t="n">
        <x:v>1</x:v>
      </x:c>
      <x:c r="L20" s="116" t="n">
        <x:f>J20*K20</x:f>
        <x:v>0.478420880166514</x:v>
      </x:c>
      <x:c r="M20" s="113" t="n">
        <x:v>3</x:v>
      </x:c>
      <x:c r="N20" s="117" t="n">
        <x:v>0.2748851859110649</x:v>
      </x:c>
      <x:c r="O20" s="118" t="n">
        <x:v>6.898031607956644</x:v>
      </x:c>
      <x:c r="P20" s="118" t="n">
        <x:v>7.529390942387119</x:v>
      </x:c>
      <x:c r="Q20" s="71" t="str">
        <x:v>no</x:v>
      </x:c>
      <x:c r="R20" s="119" t="n">
        <x:v>2.6227128970132028</x:v>
      </x:c>
      <x:c r="S20" s="115" t="n">
        <x:v>0.1616907299136114</x:v>
      </x:c>
      <x:c r="T20" s="115" t="n">
        <x:v>0.5355660918104549</x:v>
      </x:c>
      <x:c r="U20" s="115" t="n">
        <x:v>1.5417466468333434</x:v>
      </x:c>
      <x:c r="V20" s="115" t="n">
        <x:f>MAX(ABS(T20),ABS(U20))</x:f>
        <x:v>1.5417466468333434</x:v>
      </x:c>
      <x:c r="W20" s="71" t="str">
        <x:v>clear</x:v>
      </x:c>
      <x:c r="X20" s="71" t="str">
        <x:v>pass</x:v>
      </x:c>
      <x:c r="Y20" s="71" t="str">
        <x:v>yes</x:v>
      </x:c>
      <x:c r="Z20" s="120" t="str">
        <x:v>Planet-like in the small search aperture, but the current primary aperture prefers a different period.</x:v>
      </x:c>
      <x:c r="AA20" s="71" t="str">
        <x:v>19_TIC2001273871_b_current_adp.png</x:v>
      </x:c>
      <x:c r="AB20" s="71" t="str">
        <x:v>283520a9d5be90a3d21febe78233906fd443d32acbbdc301d7b57c2b668baeaf</x:v>
      </x:c>
      <x:c r="AC20" s="71" t="str">
        <x:v>s56_compact_planet_revisit_407</x:v>
      </x:c>
      <x:c r="AD20" s="71" t="str">
        <x:v>s0056-signal-final-9feeb542c31650d9</x:v>
      </x:c>
    </x:row>
    <x:row r="21" ht="34" customHeight="1">
      <x:c r="A21" s="113" t="n">
        <x:v>20</x:v>
      </x:c>
      <x:c r="B21" s="71" t="str">
        <x:v>B</x:v>
      </x:c>
      <x:c r="C21" s="114" t="str">
        <x:v>2040459567</x:v>
      </x:c>
      <x:c r="D21" s="71" t="str"/>
      <x:c r="E21" s="113" t="n">
        <x:v>56</x:v>
      </x:c>
      <x:c r="F21" s="113" t="str">
        <x:v>model-enriched, human-confirmed</x:v>
      </x:c>
      <x:c r="G21" s="113" t="n">
        <x:v>2</x:v>
      </x:c>
      <x:c r="H21" s="113" t="n">
        <x:v>4</x:v>
      </x:c>
      <x:c r="I21" s="115" t="n">
        <x:v>20.290564253978687</x:v>
      </x:c>
      <x:c r="J21" s="116" t="n">
        <x:v>2.01777066317487</x:v>
      </x:c>
      <x:c r="K21" s="116" t="n">
        <x:v>1</x:v>
      </x:c>
      <x:c r="L21" s="116" t="n">
        <x:f>J21*K21</x:f>
        <x:v>2.01777066317487</x:v>
      </x:c>
      <x:c r="M21" s="113" t="n">
        <x:v>6</x:v>
      </x:c>
      <x:c r="N21" s="117" t="n">
        <x:v>1.4011267855763534</x:v>
      </x:c>
      <x:c r="O21" s="118" t="n">
        <x:v>6.783316233565339</x:v>
      </x:c>
      <x:c r="P21" s="118" t="n">
        <x:v>13.321253733167785</x:v>
      </x:c>
      <x:c r="Q21" s="71" t="str">
        <x:v>no</x:v>
      </x:c>
      <x:c r="R21" s="119" t="n">
        <x:v>0.9562426763709714</x:v>
      </x:c>
      <x:c r="S21" s="115" t="n">
        <x:v>0.2308276848844457</x:v>
      </x:c>
      <x:c r="T21" s="115" t="n">
        <x:v>0.1693445420821322</x:v>
      </x:c>
      <x:c r="U21" s="115" t="n">
        <x:v>1.5558336722078991</x:v>
      </x:c>
      <x:c r="V21" s="115" t="n">
        <x:f>MAX(ABS(T21),ABS(U21))</x:f>
        <x:v>1.5558336722078991</x:v>
      </x:c>
      <x:c r="W21" s="71" t="str">
        <x:v>clear</x:v>
      </x:c>
      <x:c r="X21" s="71" t="str">
        <x:v>pass</x:v>
      </x:c>
      <x:c r="Y21" s="71" t="str">
        <x:v>yes</x:v>
      </x:c>
      <x:c r="Z21" s="120" t="str">
        <x:v>Planet-like in the small search aperture, but the current primary aperture prefers a different period.</x:v>
      </x:c>
      <x:c r="AA21" s="71" t="str">
        <x:v>20_TIC2040459567_b_current_adp.png</x:v>
      </x:c>
      <x:c r="AB21" s="71" t="str">
        <x:v>4fb417550770693f62e57f936fd780944c1652adf0f7d569292ddf3a1766c6eb</x:v>
      </x:c>
      <x:c r="AC21" s="71" t="str">
        <x:v>s56_compact_planet_revisit_407</x:v>
      </x:c>
      <x:c r="AD21" s="71" t="str">
        <x:v>s0056-signal-final-c40b5454d226d391</x:v>
      </x:c>
    </x:row>
    <x:row r="22" ht="34" customHeight="1">
      <x:c r="A22" s="113" t="n">
        <x:v>21</x:v>
      </x:c>
      <x:c r="B22" s="71" t="str">
        <x:v>B</x:v>
      </x:c>
      <x:c r="C22" s="114" t="str">
        <x:v>2040712491</x:v>
      </x:c>
      <x:c r="D22" s="71" t="str"/>
      <x:c r="E22" s="113" t="n">
        <x:v>56</x:v>
      </x:c>
      <x:c r="F22" s="113" t="str">
        <x:v>model-enriched, human-confirmed</x:v>
      </x:c>
      <x:c r="G22" s="113" t="n">
        <x:v>2</x:v>
      </x:c>
      <x:c r="H22" s="113" t="n">
        <x:v>4</x:v>
      </x:c>
      <x:c r="I22" s="115" t="n">
        <x:v>20.24777109550331</x:v>
      </x:c>
      <x:c r="J22" s="116" t="n">
        <x:v>0.376447909166525</x:v>
      </x:c>
      <x:c r="K22" s="116" t="n">
        <x:v>1</x:v>
      </x:c>
      <x:c r="L22" s="116" t="n">
        <x:f>J22*K22</x:f>
        <x:v>0.376447909166525</x:v>
      </x:c>
      <x:c r="M22" s="113" t="n">
        <x:v>6</x:v>
      </x:c>
      <x:c r="N22" s="117" t="n">
        <x:v>0.3081097620215002</x:v>
      </x:c>
      <x:c r="O22" s="118" t="n">
        <x:v>6.606524847048157</x:v>
      </x:c>
      <x:c r="P22" s="118" t="n">
        <x:v>8.826769840441573</x:v>
      </x:c>
      <x:c r="Q22" s="71" t="str">
        <x:v>no</x:v>
      </x:c>
      <x:c r="R22" s="119" t="n">
        <x:v>0.3768902631784657</x:v>
      </x:c>
      <x:c r="S22" s="115" t="n">
        <x:v>0.0662605181532057</x:v>
      </x:c>
      <x:c r="T22" s="115" t="n">
        <x:v>0.9838011274573916</x:v>
      </x:c>
      <x:c r="U22" s="115" t="n">
        <x:v>0.4215228537577006</x:v>
      </x:c>
      <x:c r="V22" s="115" t="n">
        <x:f>MAX(ABS(T22),ABS(U22))</x:f>
        <x:v>0.9838011274573916</x:v>
      </x:c>
      <x:c r="W22" s="71" t="str">
        <x:v>clear</x:v>
      </x:c>
      <x:c r="X22" s="71" t="str">
        <x:v>pass</x:v>
      </x:c>
      <x:c r="Y22" s="71" t="str">
        <x:v>yes</x:v>
      </x:c>
      <x:c r="Z22" s="120" t="str">
        <x:v>Planet-like in the small search aperture, but the current primary aperture prefers a different period.</x:v>
      </x:c>
      <x:c r="AA22" s="71" t="str">
        <x:v>21_TIC2040712491_b_current_adp.png</x:v>
      </x:c>
      <x:c r="AB22" s="71" t="str">
        <x:v>c4a677e81c3475bd369538f992c28b41505352eac0cecfdab8a4ff2607ba18a7</x:v>
      </x:c>
      <x:c r="AC22" s="71" t="str">
        <x:v>s56_compact_planet_revisit_407</x:v>
      </x:c>
      <x:c r="AD22" s="71" t="str">
        <x:v>s0056-signal-final-c4f2d4208d391924</x:v>
      </x:c>
    </x:row>
    <x:row r="23" ht="34" customHeight="1">
      <x:c r="A23" s="113" t="n">
        <x:v>22</x:v>
      </x:c>
      <x:c r="B23" s="71" t="str">
        <x:v>B</x:v>
      </x:c>
      <x:c r="C23" s="114" t="str">
        <x:v>2040327472</x:v>
      </x:c>
      <x:c r="D23" s="71" t="str"/>
      <x:c r="E23" s="113" t="n">
        <x:v>56</x:v>
      </x:c>
      <x:c r="F23" s="113" t="str">
        <x:v>model-enriched, human-confirmed</x:v>
      </x:c>
      <x:c r="G23" s="113" t="n">
        <x:v>2</x:v>
      </x:c>
      <x:c r="H23" s="113" t="n">
        <x:v>4</x:v>
      </x:c>
      <x:c r="I23" s="115" t="n">
        <x:v>20.29191493021305</x:v>
      </x:c>
      <x:c r="J23" s="116" t="n">
        <x:v>1.8491599987965</x:v>
      </x:c>
      <x:c r="K23" s="116" t="n">
        <x:v>1</x:v>
      </x:c>
      <x:c r="L23" s="116" t="n">
        <x:f>J23*K23</x:f>
        <x:v>1.8491599987965</x:v>
      </x:c>
      <x:c r="M23" s="113" t="n">
        <x:v>12</x:v>
      </x:c>
      <x:c r="N23" s="117" t="n">
        <x:v>0.4712051552068442</x:v>
      </x:c>
      <x:c r="O23" s="118" t="n">
        <x:v>6.438695844773066</x:v>
      </x:c>
      <x:c r="P23" s="118" t="n">
        <x:v>15.834145024131724</x:v>
      </x:c>
      <x:c r="Q23" s="71" t="str">
        <x:v>no</x:v>
      </x:c>
      <x:c r="R23" s="119" t="n">
        <x:v>0.7782353356392417</x:v>
      </x:c>
      <x:c r="S23" s="115" t="n">
        <x:v>0.1305966392040728</x:v>
      </x:c>
      <x:c r="T23" s="115" t="n">
        <x:v>1.0887605457068663</x:v>
      </x:c>
      <x:c r="U23" s="115" t="n">
        <x:v>0.8717476678993944</x:v>
      </x:c>
      <x:c r="V23" s="115" t="n">
        <x:f>MAX(ABS(T23),ABS(U23))</x:f>
        <x:v>1.0887605457068663</x:v>
      </x:c>
      <x:c r="W23" s="71" t="str">
        <x:v>clear</x:v>
      </x:c>
      <x:c r="X23" s="71" t="str">
        <x:v>pass</x:v>
      </x:c>
      <x:c r="Y23" s="71" t="str">
        <x:v>yes</x:v>
      </x:c>
      <x:c r="Z23" s="120" t="str">
        <x:v>Planet-like in the small search aperture, but the current primary aperture prefers a different period.</x:v>
      </x:c>
      <x:c r="AA23" s="71" t="str">
        <x:v>22_TIC2040327472_b_current_adp.png</x:v>
      </x:c>
      <x:c r="AB23" s="71" t="str">
        <x:v>92cb236fee7caa1a8ec3c4ca13ed836cb5cb9c54ae4e2aba50b12914007404d0</x:v>
      </x:c>
      <x:c r="AC23" s="71" t="str">
        <x:v>s56_compact_planet_revisit_407</x:v>
      </x:c>
      <x:c r="AD23" s="71" t="str">
        <x:v>s0056-signal-final-baf88c7738af9da0</x:v>
      </x:c>
    </x:row>
    <x:row r="24" ht="34" customHeight="1">
      <x:c r="A24" s="113" t="n">
        <x:v>23</x:v>
      </x:c>
      <x:c r="B24" s="71" t="str">
        <x:v>B</x:v>
      </x:c>
      <x:c r="C24" s="114" t="str">
        <x:v>2011415393</x:v>
      </x:c>
      <x:c r="D24" s="71" t="str"/>
      <x:c r="E24" s="113" t="n">
        <x:v>56</x:v>
      </x:c>
      <x:c r="F24" s="113" t="str">
        <x:v>model-enriched, human-confirmed</x:v>
      </x:c>
      <x:c r="G24" s="113" t="n">
        <x:v>3</x:v>
      </x:c>
      <x:c r="H24" s="113" t="n">
        <x:v>2</x:v>
      </x:c>
      <x:c r="I24" s="115" t="n">
        <x:v>20.07877193722673</x:v>
      </x:c>
      <x:c r="J24" s="116" t="n">
        <x:v>0.243088866195667</x:v>
      </x:c>
      <x:c r="K24" s="116" t="n">
        <x:v>1</x:v>
      </x:c>
      <x:c r="L24" s="116" t="n">
        <x:f>J24*K24</x:f>
        <x:v>0.243088866195667</x:v>
      </x:c>
      <x:c r="M24" s="113" t="n">
        <x:v>3</x:v>
      </x:c>
      <x:c r="N24" s="117" t="n">
        <x:v>0.1982349147448312</x:v>
      </x:c>
      <x:c r="O24" s="118" t="n">
        <x:v>6.318019343340602</x:v>
      </x:c>
      <x:c r="P24" s="118" t="n">
        <x:v>8.238854289021395</x:v>
      </x:c>
      <x:c r="Q24" s="71" t="str">
        <x:v>no</x:v>
      </x:c>
      <x:c r="R24" s="119" t="n">
        <x:v>0.1206657278933072</x:v>
      </x:c>
      <x:c r="S24" s="115" t="n">
        <x:v>0.2394355594439584</x:v>
      </x:c>
      <x:c r="T24" s="115" t="n">
        <x:v>1.2057260079197551</x:v>
      </x:c>
      <x:c r="U24" s="115" t="n">
        <x:v>1.8245257579858132</x:v>
      </x:c>
      <x:c r="V24" s="115" t="n">
        <x:f>MAX(ABS(T24),ABS(U24))</x:f>
        <x:v>1.8245257579858132</x:v>
      </x:c>
      <x:c r="W24" s="71" t="str">
        <x:v>clear</x:v>
      </x:c>
      <x:c r="X24" s="71" t="str">
        <x:v>pass</x:v>
      </x:c>
      <x:c r="Y24" s="71" t="str">
        <x:v>yes</x:v>
      </x:c>
      <x:c r="Z24" s="120" t="str">
        <x:v>Planet-like in the small search aperture, but the current primary aperture prefers a different period.</x:v>
      </x:c>
      <x:c r="AA24" s="71" t="str">
        <x:v>23_TIC2011415393_b_current_adp.png</x:v>
      </x:c>
      <x:c r="AB24" s="71" t="str">
        <x:v>d369783be2667fd1b4dbbad43d667625da663e8e31c267f496056a40db5a618c</x:v>
      </x:c>
      <x:c r="AC24" s="71" t="str">
        <x:v>s56_compact_planet_revisit_407</x:v>
      </x:c>
      <x:c r="AD24" s="71" t="str">
        <x:v>s0056-signal-final-6566a055758275ca</x:v>
      </x:c>
    </x:row>
    <x:row r="25" ht="34" customHeight="1">
      <x:c r="A25" s="113" t="n">
        <x:v>24</x:v>
      </x:c>
      <x:c r="B25" s="71" t="str">
        <x:v>B</x:v>
      </x:c>
      <x:c r="C25" s="114" t="str">
        <x:v>1979188354</x:v>
      </x:c>
      <x:c r="D25" s="71" t="str"/>
      <x:c r="E25" s="113" t="n">
        <x:v>56</x:v>
      </x:c>
      <x:c r="F25" s="113" t="str">
        <x:v>model-enriched, human-confirmed</x:v>
      </x:c>
      <x:c r="G25" s="113" t="n">
        <x:v>3</x:v>
      </x:c>
      <x:c r="H25" s="113" t="n">
        <x:v>2</x:v>
      </x:c>
      <x:c r="I25" s="115" t="n">
        <x:v>19.748446183019723</x:v>
      </x:c>
      <x:c r="J25" s="116" t="n">
        <x:v>0.433977378798086</x:v>
      </x:c>
      <x:c r="K25" s="116" t="n">
        <x:v>1</x:v>
      </x:c>
      <x:c r="L25" s="116" t="n">
        <x:f>J25*K25</x:f>
        <x:v>0.433977378798086</x:v>
      </x:c>
      <x:c r="M25" s="113" t="n">
        <x:v>3</x:v>
      </x:c>
      <x:c r="N25" s="117" t="n">
        <x:v>0.7149799739140149</x:v>
      </x:c>
      <x:c r="O25" s="118" t="n">
        <x:v>6.264213769548153</x:v>
      </x:c>
      <x:c r="P25" s="118" t="n">
        <x:v>7.250742630815771</x:v>
      </x:c>
      <x:c r="Q25" s="71" t="str">
        <x:v>no</x:v>
      </x:c>
      <x:c r="R25" s="119" t="n">
        <x:v>0.714528311785565</x:v>
      </x:c>
      <x:c r="S25" s="115" t="n">
        <x:v>0.6025253993246299</x:v>
      </x:c>
      <x:c r="T25" s="115" t="n">
        <x:v>0.4546958458510315</x:v>
      </x:c>
      <x:c r="U25" s="115" t="n">
        <x:v>0.1398040370419222</x:v>
      </x:c>
      <x:c r="V25" s="115" t="n">
        <x:f>MAX(ABS(T25),ABS(U25))</x:f>
        <x:v>0.4546958458510315</x:v>
      </x:c>
      <x:c r="W25" s="71" t="str">
        <x:v>clear</x:v>
      </x:c>
      <x:c r="X25" s="71" t="str">
        <x:v>pass</x:v>
      </x:c>
      <x:c r="Y25" s="71" t="str">
        <x:v>yes</x:v>
      </x:c>
      <x:c r="Z25" s="120" t="str">
        <x:v>Planet-like in the small search aperture, but the current primary aperture prefers a different period.</x:v>
      </x:c>
      <x:c r="AA25" s="71" t="str">
        <x:v>24_TIC1979188354_b_current_adp.png</x:v>
      </x:c>
      <x:c r="AB25" s="71" t="str">
        <x:v>9693c663c103da30c2e5fc6a6d37de808be925ceed080495027374fea7624180</x:v>
      </x:c>
      <x:c r="AC25" s="71" t="str">
        <x:v>s56_compact_planet_revisit_407</x:v>
      </x:c>
      <x:c r="AD25" s="71" t="str">
        <x:v>s0056-signal-final-0eb5f3be4489bca2</x:v>
      </x:c>
    </x:row>
    <x:row r="26" ht="34" customHeight="1">
      <x:c r="A26" s="113" t="n">
        <x:v>25</x:v>
      </x:c>
      <x:c r="B26" s="71" t="str">
        <x:v>B</x:v>
      </x:c>
      <x:c r="C26" s="114" t="str">
        <x:v>2003515304</x:v>
      </x:c>
      <x:c r="D26" s="71" t="str"/>
      <x:c r="E26" s="113" t="n">
        <x:v>56</x:v>
      </x:c>
      <x:c r="F26" s="113" t="str">
        <x:v>model-enriched, human-confirmed</x:v>
      </x:c>
      <x:c r="G26" s="113" t="n">
        <x:v>2</x:v>
      </x:c>
      <x:c r="H26" s="113" t="n">
        <x:v>4</x:v>
      </x:c>
      <x:c r="I26" s="115" t="n">
        <x:v>20.03919483212005</x:v>
      </x:c>
      <x:c r="J26" s="116" t="n">
        <x:v>0.827946478098765</x:v>
      </x:c>
      <x:c r="K26" s="116" t="n">
        <x:v>1</x:v>
      </x:c>
      <x:c r="L26" s="116" t="n">
        <x:f>J26*K26</x:f>
        <x:v>0.827946478098765</x:v>
      </x:c>
      <x:c r="M26" s="113" t="n">
        <x:v>12</x:v>
      </x:c>
      <x:c r="N26" s="117" t="n">
        <x:v>0.3767576395652204</x:v>
      </x:c>
      <x:c r="O26" s="118" t="n">
        <x:v>6.257257549523814</x:v>
      </x:c>
      <x:c r="P26" s="118" t="n">
        <x:v>6.698964326928147</x:v>
      </x:c>
      <x:c r="Q26" s="71" t="str">
        <x:v>no</x:v>
      </x:c>
      <x:c r="R26" s="119" t="n">
        <x:v>0.1658256764618907</x:v>
      </x:c>
      <x:c r="S26" s="115" t="n">
        <x:v>0.407517015324682</x:v>
      </x:c>
      <x:c r="T26" s="115" t="n">
        <x:v>1.1476183293240532</x:v>
      </x:c>
      <x:c r="U26" s="115" t="n">
        <x:v>1.6450550668620862</x:v>
      </x:c>
      <x:c r="V26" s="115" t="n">
        <x:f>MAX(ABS(T26),ABS(U26))</x:f>
        <x:v>1.6450550668620862</x:v>
      </x:c>
      <x:c r="W26" s="71" t="str">
        <x:v>clear</x:v>
      </x:c>
      <x:c r="X26" s="71" t="str">
        <x:v>pass</x:v>
      </x:c>
      <x:c r="Y26" s="71" t="str">
        <x:v>yes</x:v>
      </x:c>
      <x:c r="Z26" s="120" t="str">
        <x:v>Planet-like in the small search aperture, but the current primary aperture prefers a different period.</x:v>
      </x:c>
      <x:c r="AA26" s="71" t="str">
        <x:v>25_TIC2003515304_b_current_adp.png</x:v>
      </x:c>
      <x:c r="AB26" s="71" t="str">
        <x:v>eed01b1358cc52c0918ecbcfd76551a44688f37ade7109dbaed30b3a0ed432ff</x:v>
      </x:c>
      <x:c r="AC26" s="71" t="str">
        <x:v>s56_compact_planet_revisit_407</x:v>
      </x:c>
      <x:c r="AD26" s="71" t="str">
        <x:v>s0056-signal-final-81cebad1b6515654</x:v>
      </x:c>
    </x:row>
    <x:row r="27" ht="34" customHeight="1">
      <x:c r="A27" s="113" t="n">
        <x:v>26</x:v>
      </x:c>
      <x:c r="B27" s="71" t="str">
        <x:v>B</x:v>
      </x:c>
      <x:c r="C27" s="114" t="str">
        <x:v>1978545466</x:v>
      </x:c>
      <x:c r="D27" s="71" t="str"/>
      <x:c r="E27" s="113" t="n">
        <x:v>56</x:v>
      </x:c>
      <x:c r="F27" s="113" t="str">
        <x:v>model-enriched, human-confirmed</x:v>
      </x:c>
      <x:c r="G27" s="113" t="n">
        <x:v>3</x:v>
      </x:c>
      <x:c r="H27" s="113" t="n">
        <x:v>4</x:v>
      </x:c>
      <x:c r="I27" s="115" t="n">
        <x:v>20.235912017769664</x:v>
      </x:c>
      <x:c r="J27" s="116" t="n">
        <x:v>2.41949770645352</x:v>
      </x:c>
      <x:c r="K27" s="116" t="n">
        <x:v>1</x:v>
      </x:c>
      <x:c r="L27" s="116" t="n">
        <x:f>J27*K27</x:f>
        <x:v>2.41949770645352</x:v>
      </x:c>
      <x:c r="M27" s="113" t="n">
        <x:v>12</x:v>
      </x:c>
      <x:c r="N27" s="117" t="n">
        <x:v>0.5038192024143102</x:v>
      </x:c>
      <x:c r="O27" s="118" t="n">
        <x:v>6.172695623334461</x:v>
      </x:c>
      <x:c r="P27" s="118" t="n">
        <x:v>6.354671146565532</x:v>
      </x:c>
      <x:c r="Q27" s="71" t="str">
        <x:v>no</x:v>
      </x:c>
      <x:c r="R27" s="119" t="n">
        <x:v>2.3257994102576496</x:v>
      </x:c>
      <x:c r="S27" s="115" t="n">
        <x:v>0.1418700015277022</x:v>
      </x:c>
      <x:c r="T27" s="115" t="n">
        <x:v>0.7444281947519228</x:v>
      </x:c>
      <x:c r="U27" s="115" t="n">
        <x:v>1.932621109452113</x:v>
      </x:c>
      <x:c r="V27" s="115" t="n">
        <x:f>MAX(ABS(T27),ABS(U27))</x:f>
        <x:v>1.932621109452113</x:v>
      </x:c>
      <x:c r="W27" s="71" t="str">
        <x:v>clear</x:v>
      </x:c>
      <x:c r="X27" s="71" t="str">
        <x:v>pass</x:v>
      </x:c>
      <x:c r="Y27" s="71" t="str">
        <x:v>yes</x:v>
      </x:c>
      <x:c r="Z27" s="120" t="str">
        <x:v>Planet-like in the small search aperture, but the current primary aperture prefers a different period.</x:v>
      </x:c>
      <x:c r="AA27" s="71" t="str">
        <x:v>26_TIC1978545466_b_current_adp.png</x:v>
      </x:c>
      <x:c r="AB27" s="71" t="str">
        <x:v>d9209b12e43042cdf6c483b2e4281dd32701a3f39a72df1dc6fd5ecad4ab59e0</x:v>
      </x:c>
      <x:c r="AC27" s="71" t="str">
        <x:v>s56_compact_planet_revisit_407</x:v>
      </x:c>
      <x:c r="AD27" s="71" t="str">
        <x:v>s0056-signal-final-060b4c2d8bad4424</x:v>
      </x:c>
    </x:row>
    <x:row r="28" ht="34" customHeight="1">
      <x:c r="A28" s="113" t="n">
        <x:v>27</x:v>
      </x:c>
      <x:c r="B28" s="71" t="str">
        <x:v>B</x:v>
      </x:c>
      <x:c r="C28" s="114" t="str">
        <x:v>2040583203</x:v>
      </x:c>
      <x:c r="D28" s="71" t="str"/>
      <x:c r="E28" s="113" t="n">
        <x:v>56</x:v>
      </x:c>
      <x:c r="F28" s="113" t="str">
        <x:v>model-enriched, human-confirmed</x:v>
      </x:c>
      <x:c r="G28" s="113" t="n">
        <x:v>2</x:v>
      </x:c>
      <x:c r="H28" s="113" t="n">
        <x:v>4</x:v>
      </x:c>
      <x:c r="I28" s="115" t="n">
        <x:v>19.067164093603896</x:v>
      </x:c>
      <x:c r="J28" s="116" t="n">
        <x:v>1.73901490384014</x:v>
      </x:c>
      <x:c r="K28" s="116" t="n">
        <x:v>1</x:v>
      </x:c>
      <x:c r="L28" s="116" t="n">
        <x:f>J28*K28</x:f>
        <x:v>1.73901490384014</x:v>
      </x:c>
      <x:c r="M28" s="113" t="n">
        <x:v>6</x:v>
      </x:c>
      <x:c r="N28" s="117" t="n">
        <x:v>0.2427275847087135</x:v>
      </x:c>
      <x:c r="O28" s="118" t="n">
        <x:v>6.171684287413776</x:v>
      </x:c>
      <x:c r="P28" s="118" t="n">
        <x:v>15.154735483762074</x:v>
      </x:c>
      <x:c r="Q28" s="71" t="str">
        <x:v>no</x:v>
      </x:c>
      <x:c r="R28" s="119" t="n">
        <x:v>0.1569306113008547</x:v>
      </x:c>
      <x:c r="S28" s="115" t="n">
        <x:v>0.177642012221418</x:v>
      </x:c>
      <x:c r="T28" s="115" t="n">
        <x:v>0.8877482978231538</x:v>
      </x:c>
      <x:c r="U28" s="115" t="n">
        <x:v>0.5292536423505705</x:v>
      </x:c>
      <x:c r="V28" s="115" t="n">
        <x:f>MAX(ABS(T28),ABS(U28))</x:f>
        <x:v>0.8877482978231538</x:v>
      </x:c>
      <x:c r="W28" s="71" t="str">
        <x:v>clear</x:v>
      </x:c>
      <x:c r="X28" s="71" t="str">
        <x:v>pass</x:v>
      </x:c>
      <x:c r="Y28" s="71" t="str">
        <x:v>yes</x:v>
      </x:c>
      <x:c r="Z28" s="120" t="str">
        <x:v>Planet-like in the small search aperture, but the current primary aperture prefers a different period.</x:v>
      </x:c>
      <x:c r="AA28" s="71" t="str">
        <x:v>27_TIC2040583203_b_current_adp.png</x:v>
      </x:c>
      <x:c r="AB28" s="71" t="str">
        <x:v>b593fa17f95553f256cc59fad4ebef4fc22f3d3e43540603370986e90083f3ab</x:v>
      </x:c>
      <x:c r="AC28" s="71" t="str">
        <x:v>s56_compact_planet_revisit_407</x:v>
      </x:c>
      <x:c r="AD28" s="71" t="str">
        <x:v>s0056-signal-final-5dfe82fc87d06ebf</x:v>
      </x:c>
    </x:row>
    <x:row r="29" ht="34" customHeight="1">
      <x:c r="A29" s="113" t="n">
        <x:v>28</x:v>
      </x:c>
      <x:c r="B29" s="71" t="str">
        <x:v>B</x:v>
      </x:c>
      <x:c r="C29" s="114" t="str">
        <x:v>2003344337</x:v>
      </x:c>
      <x:c r="D29" s="71" t="str"/>
      <x:c r="E29" s="113" t="n">
        <x:v>56</x:v>
      </x:c>
      <x:c r="F29" s="113" t="str">
        <x:v>model-enriched, human-confirmed</x:v>
      </x:c>
      <x:c r="G29" s="113" t="n">
        <x:v>2</x:v>
      </x:c>
      <x:c r="H29" s="113" t="n">
        <x:v>3</x:v>
      </x:c>
      <x:c r="I29" s="115" t="n">
        <x:v>19.828788720736153</x:v>
      </x:c>
      <x:c r="J29" s="116" t="n">
        <x:v>0.381233175244496</x:v>
      </x:c>
      <x:c r="K29" s="116" t="n">
        <x:v>1</x:v>
      </x:c>
      <x:c r="L29" s="116" t="n">
        <x:f>J29*K29</x:f>
        <x:v>0.381233175244496</x:v>
      </x:c>
      <x:c r="M29" s="113" t="n">
        <x:v>6</x:v>
      </x:c>
      <x:c r="N29" s="117" t="n">
        <x:v>0.6741600951912271</x:v>
      </x:c>
      <x:c r="O29" s="118" t="n">
        <x:v>6.924203621295358</x:v>
      </x:c>
      <x:c r="P29" s="118" t="n">
        <x:v>6.123096570557068</x:v>
      </x:c>
      <x:c r="Q29" s="71" t="str">
        <x:v>no</x:v>
      </x:c>
      <x:c r="R29" s="119" t="n">
        <x:v>0.7622259864306795</x:v>
      </x:c>
      <x:c r="S29" s="115" t="n">
        <x:v>0.3091166751871069</x:v>
      </x:c>
      <x:c r="T29" s="115" t="n">
        <x:v>3.385977152030321</x:v>
      </x:c>
      <x:c r="U29" s="115" t="n">
        <x:v>0.0771480641092737</x:v>
      </x:c>
      <x:c r="V29" s="115" t="n">
        <x:f>MAX(ABS(T29),ABS(U29))</x:f>
        <x:v>3.385977152030321</x:v>
      </x:c>
      <x:c r="W29" s="71" t="str">
        <x:v>review</x:v>
      </x:c>
      <x:c r="X29" s="71" t="str">
        <x:v>pass</x:v>
      </x:c>
      <x:c r="Y29" s="71" t="str">
        <x:v>yes</x:v>
      </x:c>
      <x:c r="Z29" s="120" t="str">
        <x:v>Planet-like in the small search aperture, but the current primary aperture prefers a different period.</x:v>
      </x:c>
      <x:c r="AA29" s="71" t="str">
        <x:v>28_TIC2003344337_b_current_adp.png</x:v>
      </x:c>
      <x:c r="AB29" s="71" t="str">
        <x:v>953b8421b0a1d8ce3b5cf2e72c2e9f93a2d57ce663594e4ef01d0c8653e920e7</x:v>
      </x:c>
      <x:c r="AC29" s="71" t="str">
        <x:v>s56_compact_planet_revisit_407</x:v>
      </x:c>
      <x:c r="AD29" s="71" t="str">
        <x:v>s0056-signal-final-ea5ef5e0a20cf690</x:v>
      </x:c>
    </x:row>
    <x:row r="30" ht="34" customHeight="1">
      <x:c r="A30" s="113" t="n">
        <x:v>29</x:v>
      </x:c>
      <x:c r="B30" s="71" t="str">
        <x:v>C</x:v>
      </x:c>
      <x:c r="C30" s="114" t="str">
        <x:v>2001332736</x:v>
      </x:c>
      <x:c r="D30" s="71" t="str"/>
      <x:c r="E30" s="113" t="n">
        <x:v>56</x:v>
      </x:c>
      <x:c r="F30" s="113" t="str">
        <x:v>model-enriched, human-confirmed</x:v>
      </x:c>
      <x:c r="G30" s="113" t="n">
        <x:v>2</x:v>
      </x:c>
      <x:c r="H30" s="113" t="n">
        <x:v>3</x:v>
      </x:c>
      <x:c r="I30" s="115" t="n">
        <x:v>19.672802935100577</x:v>
      </x:c>
      <x:c r="J30" s="116" t="n">
        <x:v>3.93551270979651</x:v>
      </x:c>
      <x:c r="K30" s="116" t="n">
        <x:v>1</x:v>
      </x:c>
      <x:c r="L30" s="116" t="n">
        <x:f>J30*K30</x:f>
        <x:v>3.93551270979651</x:v>
      </x:c>
      <x:c r="M30" s="113" t="n">
        <x:v>15</x:v>
      </x:c>
      <x:c r="N30" s="117" t="n">
        <x:v>0.1533887494418716</x:v>
      </x:c>
      <x:c r="O30" s="118" t="n">
        <x:v>8.231473498985274</x:v>
      </x:c>
      <x:c r="P30" s="118" t="n">
        <x:v>32.99363337971771</x:v>
      </x:c>
      <x:c r="Q30" s="71" t="str">
        <x:v>no</x:v>
      </x:c>
      <x:c r="R30" s="119" t="n">
        <x:v>8.7778812587502</x:v>
      </x:c>
      <x:c r="S30" s="115" t="n">
        <x:v>0.0819521938393276</x:v>
      </x:c>
      <x:c r="T30" s="115" t="n">
        <x:v>0.8941647081603413</x:v>
      </x:c>
      <x:c r="U30" s="115"/>
      <x:c r="V30" s="115" t="n">
        <x:f>MAX(ABS(T30),ABS(U30))</x:f>
        <x:v>0.8941647081603413</x:v>
      </x:c>
      <x:c r="W30" s="71" t="str">
        <x:v>clear</x:v>
      </x:c>
      <x:c r="X30" s="71" t="str">
        <x:v>review</x:v>
      </x:c>
      <x:c r="Y30" s="71" t="str">
        <x:v>yes</x:v>
      </x:c>
      <x:c r="Z30" s="120" t="str">
        <x:v>Small-aperture Planet-like morphology with aperture disagreement and a non-blocking Tier-1 target-QA review warning.</x:v>
      </x:c>
      <x:c r="AA30" s="71" t="str">
        <x:v>29_TIC2001332736_c_current_adp.png</x:v>
      </x:c>
      <x:c r="AB30" s="71" t="str">
        <x:v>dd1753bec366ca68f2a1470b37fbb27706fb930d220882a1acd9f728e530e759</x:v>
      </x:c>
      <x:c r="AC30" s="71" t="str">
        <x:v>s56_compact_planet_revisit_407</x:v>
      </x:c>
      <x:c r="AD30" s="71" t="str">
        <x:v>s0056-signal-final-5c3dced678c5e54b</x:v>
      </x:c>
    </x:row>
    <x:row r="31" ht="34" customHeight="1">
      <x:c r="A31" s="113" t="n">
        <x:v>30</x:v>
      </x:c>
      <x:c r="B31" s="71" t="str">
        <x:v>C</x:v>
      </x:c>
      <x:c r="C31" s="114" t="str">
        <x:v>1971892020</x:v>
      </x:c>
      <x:c r="D31" s="71" t="str"/>
      <x:c r="E31" s="113" t="n">
        <x:v>56</x:v>
      </x:c>
      <x:c r="F31" s="113" t="str">
        <x:v>model-enriched, human-confirmed</x:v>
      </x:c>
      <x:c r="G31" s="113" t="n">
        <x:v>3</x:v>
      </x:c>
      <x:c r="H31" s="113" t="n">
        <x:v>1</x:v>
      </x:c>
      <x:c r="I31" s="115" t="n">
        <x:v>19.65181843696267</x:v>
      </x:c>
      <x:c r="J31" s="116" t="n">
        <x:v>3.40467487434467</x:v>
      </x:c>
      <x:c r="K31" s="116" t="n">
        <x:v>1</x:v>
      </x:c>
      <x:c r="L31" s="116" t="n">
        <x:f>J31*K31</x:f>
        <x:v>3.40467487434467</x:v>
      </x:c>
      <x:c r="M31" s="113" t="n">
        <x:v>12</x:v>
      </x:c>
      <x:c r="N31" s="117" t="n">
        <x:v>0.3131161628560755</x:v>
      </x:c>
      <x:c r="O31" s="118" t="n">
        <x:v>7.761624256171052</x:v>
      </x:c>
      <x:c r="P31" s="118" t="n">
        <x:v>29.485938529935932</x:v>
      </x:c>
      <x:c r="Q31" s="71" t="str">
        <x:v>no</x:v>
      </x:c>
      <x:c r="R31" s="119" t="n">
        <x:v>18.932319036327556</x:v>
      </x:c>
      <x:c r="S31" s="115" t="n">
        <x:v>0.0236765416575239</x:v>
      </x:c>
      <x:c r="T31" s="115" t="n">
        <x:v>0.0604297904489209</x:v>
      </x:c>
      <x:c r="U31" s="115" t="n">
        <x:v>3.0914217598115696</x:v>
      </x:c>
      <x:c r="V31" s="115" t="n">
        <x:f>MAX(ABS(T31),ABS(U31))</x:f>
        <x:v>3.0914217598115696</x:v>
      </x:c>
      <x:c r="W31" s="71" t="str">
        <x:v>review</x:v>
      </x:c>
      <x:c r="X31" s="71" t="str">
        <x:v>review</x:v>
      </x:c>
      <x:c r="Y31" s="71" t="str">
        <x:v>yes</x:v>
      </x:c>
      <x:c r="Z31" s="120" t="str">
        <x:v>Small-aperture Planet-like morphology with aperture disagreement and a non-blocking Tier-1 target-QA review warning.</x:v>
      </x:c>
      <x:c r="AA31" s="71" t="str">
        <x:v>30_TIC1971892020_c_current_adp.png</x:v>
      </x:c>
      <x:c r="AB31" s="71" t="str">
        <x:v>60ef9980768584fb34c71818ed7256abef30fc8205b5bf10000f0f6adf312f3f</x:v>
      </x:c>
      <x:c r="AC31" s="71" t="str">
        <x:v>s56_compact_planet_revisit_407</x:v>
      </x:c>
      <x:c r="AD31" s="71" t="str">
        <x:v>s0056-signal-final-996797a6718fe524</x:v>
      </x:c>
    </x:row>
  </x:sheetData>
  <x:conditionalFormatting sqref="B2:B31">
    <x:cfRule type="containsText" dxfId="0" priority="1" operator="containsText" text="Benchmark"/>
    <x:cfRule type="cellIs" dxfId="1" priority="2" operator="equal">
      <x:formula>"A"</x:formula>
    </x:cfRule>
    <x:cfRule type="cellIs" dxfId="2" priority="3" operator="equal">
      <x:formula>"B"</x:formula>
    </x:cfRule>
    <x:cfRule type="cellIs" dxfId="3" priority="4" operator="equal">
      <x:formula>"C"</x:formula>
    </x:cfRule>
  </x:conditionalFormatting>
  <x:conditionalFormatting sqref="Q2:Q31">
    <x:cfRule type="containsText" dxfId="4" priority="5" operator="containsText" text="no"/>
  </x:conditionalFormatting>
  <x:conditionalFormatting sqref="W2:W31">
    <x:cfRule type="containsText" dxfId="5" priority="6" operator="containsText" text="review"/>
  </x:conditionalFormatting>
  <x:conditionalFormatting sqref="X2:X31">
    <x:cfRule type="containsText" dxfId="6" priority="7" operator="containsText" text="review"/>
  </x:conditionalFormatting>
  <x:conditionalFormatting sqref="Y2:Y31">
    <x:cfRule type="containsText" dxfId="7" priority="8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05270ad14e564c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67" hidden="0" customWidth="1"/>
    <x:col min="4" max="4" width="95" hidden="0" customWidth="1"/>
  </x:cols>
  <x:sheetData>
    <x:row r="1">
      <x:c r="A1" s="121" t="str">
        <x:v>Candidate bundle provenance</x:v>
      </x:c>
      <x:c r="B1" s="121"/>
      <x:c r="C1" s="121"/>
      <x:c r="D1" s="121"/>
    </x:row>
    <x:row r="3">
      <x:c r="A3" s="82" t="str">
        <x:v>Artifact</x:v>
      </x:c>
      <x:c r="B3" s="82" t="str">
        <x:v>Role</x:v>
      </x:c>
      <x:c r="C3" s="82" t="str">
        <x:v>SHA-256</x:v>
      </x:c>
      <x:c r="D3" s="82" t="str">
        <x:v>Path</x:v>
      </x:c>
    </x:row>
    <x:row r="4" ht="28" customHeight="1">
      <x:c r="A4" s="71" t="str">
        <x:v>accepted_morphology</x:v>
      </x:c>
      <x:c r="B4" s="71" t="str">
        <x:v>source</x:v>
      </x:c>
      <x:c r="C4" s="71" t="str">
        <x:v>0cbd9a3a293ab085f19f1a3510e526ba72ee6ac7bc95d0b98aa717e96e493e33</x:v>
      </x:c>
      <x:c r="D4" s="71" t="str">
        <x:v>reports/stage5_validation/s56_s62_morphology_corpus_teacher_v3_v1/accepted_signal_rereview.csv</x:v>
      </x:c>
    </x:row>
    <x:row r="5" ht="28" customHeight="1">
      <x:c r="A5" s="71" t="str">
        <x:v>current_render_metrics</x:v>
      </x:c>
      <x:c r="B5" s="71" t="str">
        <x:v>source</x:v>
      </x:c>
      <x:c r="C5" s="71" t="str">
        <x:v>b0a7054897ac4fa185a29ea5d3da686641be7fb066e4b35d9407d1e3711b9e23</x:v>
      </x:c>
      <x:c r="D5" s="71" t="str">
        <x:v>data_local/label_reviews/s56_s62_signal_rereview/render_provenance_s56_s62_a2v1_current_adp_v1/s0056_metrics.csv</x:v>
      </x:c>
    </x:row>
    <x:row r="6" ht="28" customHeight="1">
      <x:c r="A6" s="71" t="str">
        <x:v>rendered_sheet_manifest</x:v>
      </x:c>
      <x:c r="B6" s="71" t="str">
        <x:v>source</x:v>
      </x:c>
      <x:c r="C6" s="71" t="str">
        <x:v>55f2e18ed409dd7d60e5b0a2257dd996313639d81b6f56c5edee6251dc95c2cc</x:v>
      </x:c>
      <x:c r="D6" s="71" t="str">
        <x:v>data_local/label_reviews/s56_s62_signal_rereview/rendered_sheet_manifest.csv</x:v>
      </x:c>
    </x:row>
    <x:row r="7" ht="28" customHeight="1">
      <x:c r="A7" s="71" t="str">
        <x:v>sheet_set</x:v>
      </x:c>
      <x:c r="B7" s="71" t="str">
        <x:v>source</x:v>
      </x:c>
      <x:c r="C7" s="71" t="str">
        <x:v>a9d0d9da2ba1aef59d087c7e209f7b9b5fdeba0763e634f0c59dcc57601f9773</x:v>
      </x:c>
      <x:c r="D7" s="71" t="str">
        <x:v>data_local/label_reviews/s56_s62_signal_rereview/sheet_set.json</x:v>
      </x:c>
    </x:row>
    <x:row r="8" ht="28" customHeight="1">
      <x:c r="A8" s="71" t="str">
        <x:v>tier1_target_eligibility</x:v>
      </x:c>
      <x:c r="B8" s="71" t="str">
        <x:v>source</x:v>
      </x:c>
      <x:c r="C8" s="71" t="str">
        <x:v>eb6dacefd8624c612f6c3b44fe6852f584ff05844cb4e9123ffcbead4968448b</x:v>
      </x:c>
      <x:c r="D8" s="71" t="str">
        <x:v>reports/stage1_lightcurves/s56_A2v1_tier1_active_search_pair_v1_20260723/target_eligibility.csv</x:v>
      </x:c>
    </x:row>
    <x:row r="9" ht="28" customHeight="1">
      <x:c r="A9" s="71" t="str">
        <x:v>01_TIC267574918_benchmark_current_adp.png</x:v>
      </x:c>
      <x:c r="B9" s="71" t="str">
        <x:v>output</x:v>
      </x:c>
      <x:c r="C9" s="71" t="str">
        <x:v>ee33d17d8f3ab99ec05b79f08bbc9fb6c3f3f7a443316283ebe97c8fbe812205</x:v>
      </x:c>
      <x:c r="D9" s="71" t="str">
        <x:v>reports/stage5_validation/s56_planet_like_candidates_current_20260727/01_TIC267574918_benchmark_current_adp.png</x:v>
      </x:c>
    </x:row>
    <x:row r="10" ht="28" customHeight="1">
      <x:c r="A10" s="71" t="str">
        <x:v>02_TIC1400704733_a_current_adp.png</x:v>
      </x:c>
      <x:c r="B10" s="71" t="str">
        <x:v>output</x:v>
      </x:c>
      <x:c r="C10" s="71" t="str">
        <x:v>c6bb95e2d5734d59abf1d42e04857169349861fa9641fc82581f3626602c79d3</x:v>
      </x:c>
      <x:c r="D10" s="71" t="str">
        <x:v>reports/stage5_validation/s56_planet_like_candidates_current_20260727/02_TIC1400704733_a_current_adp.png</x:v>
      </x:c>
    </x:row>
    <x:row r="11" ht="28" customHeight="1">
      <x:c r="A11" s="71" t="str">
        <x:v>03_TIC160520962_a_current_adp.png</x:v>
      </x:c>
      <x:c r="B11" s="71" t="str">
        <x:v>output</x:v>
      </x:c>
      <x:c r="C11" s="71" t="str">
        <x:v>7ff4d59361af8db6f411a3348e665422c39740f58b0b595e153a5f33ff8b3a07</x:v>
      </x:c>
      <x:c r="D11" s="71" t="str">
        <x:v>reports/stage5_validation/s56_planet_like_candidates_current_20260727/03_TIC160520962_a_current_adp.png</x:v>
      </x:c>
    </x:row>
    <x:row r="12" ht="28" customHeight="1">
      <x:c r="A12" s="71" t="str">
        <x:v>04_TIC2025450802_a_current_adp.png</x:v>
      </x:c>
      <x:c r="B12" s="71" t="str">
        <x:v>output</x:v>
      </x:c>
      <x:c r="C12" s="71" t="str">
        <x:v>1a9b4c2004e9b18d29eb199dbab35f14562cbbb542fed1300963eb683609f8f9</x:v>
      </x:c>
      <x:c r="D12" s="71" t="str">
        <x:v>reports/stage5_validation/s56_planet_like_candidates_current_20260727/04_TIC2025450802_a_current_adp.png</x:v>
      </x:c>
    </x:row>
    <x:row r="13" ht="28" customHeight="1">
      <x:c r="A13" s="71" t="str">
        <x:v>05_TIC1961800465_a_current_adp.png</x:v>
      </x:c>
      <x:c r="B13" s="71" t="str">
        <x:v>output</x:v>
      </x:c>
      <x:c r="C13" s="71" t="str">
        <x:v>be6e2dd456479b7e1d31437284e7646d683a5c4105edc336f7eb84737d397ce5</x:v>
      </x:c>
      <x:c r="D13" s="71" t="str">
        <x:v>reports/stage5_validation/s56_planet_like_candidates_current_20260727/05_TIC1961800465_a_current_adp.png</x:v>
      </x:c>
    </x:row>
    <x:row r="14" ht="28" customHeight="1">
      <x:c r="A14" s="71" t="str">
        <x:v>06_TIC1201294971_a_current_adp.png</x:v>
      </x:c>
      <x:c r="B14" s="71" t="str">
        <x:v>output</x:v>
      </x:c>
      <x:c r="C14" s="71" t="str">
        <x:v>0daa7ec58f69073143672ed841e434a1afa9afbb6345c8c36c8ce22d009d5c3e</x:v>
      </x:c>
      <x:c r="D14" s="71" t="str">
        <x:v>reports/stage5_validation/s56_planet_like_candidates_current_20260727/06_TIC1201294971_a_current_adp.png</x:v>
      </x:c>
    </x:row>
    <x:row r="15" ht="28" customHeight="1">
      <x:c r="A15" s="71" t="str">
        <x:v>07_TIC1400855795_a_current_adp.png</x:v>
      </x:c>
      <x:c r="B15" s="71" t="str">
        <x:v>output</x:v>
      </x:c>
      <x:c r="C15" s="71" t="str">
        <x:v>7d381135b655098f8c4ea2df7c3bca24ce176d7ad34d46f08b6d5c517732ec23</x:v>
      </x:c>
      <x:c r="D15" s="71" t="str">
        <x:v>reports/stage5_validation/s56_planet_like_candidates_current_20260727/07_TIC1400855795_a_current_adp.png</x:v>
      </x:c>
    </x:row>
    <x:row r="16" ht="28" customHeight="1">
      <x:c r="A16" s="71" t="str">
        <x:v>08_TIC1400739415_a_current_adp.png</x:v>
      </x:c>
      <x:c r="B16" s="71" t="str">
        <x:v>output</x:v>
      </x:c>
      <x:c r="C16" s="71" t="str">
        <x:v>e74271d2b0af65517e20f4bbdd70c8ad3cfdc5db6261f39762f513f30c246902</x:v>
      </x:c>
      <x:c r="D16" s="71" t="str">
        <x:v>reports/stage5_validation/s56_planet_like_candidates_current_20260727/08_TIC1400739415_a_current_adp.png</x:v>
      </x:c>
    </x:row>
    <x:row r="17" ht="28" customHeight="1">
      <x:c r="A17" s="71" t="str">
        <x:v>09_TIC2025618479_a_current_adp.png</x:v>
      </x:c>
      <x:c r="B17" s="71" t="str">
        <x:v>output</x:v>
      </x:c>
      <x:c r="C17" s="71" t="str">
        <x:v>f23867f0bd36baf0a0f0105314a9efcbc49c6db949beb14f5ea05f62ec94e321</x:v>
      </x:c>
      <x:c r="D17" s="71" t="str">
        <x:v>reports/stage5_validation/s56_planet_like_candidates_current_20260727/09_TIC2025618479_a_current_adp.png</x:v>
      </x:c>
    </x:row>
    <x:row r="18" ht="28" customHeight="1">
      <x:c r="A18" s="71" t="str">
        <x:v>10_TIC2002732115_a_current_adp.png</x:v>
      </x:c>
      <x:c r="B18" s="71" t="str">
        <x:v>output</x:v>
      </x:c>
      <x:c r="C18" s="71" t="str">
        <x:v>220d71b8b5bb552372339695875175f3fc82e1cd6dd0101ee781d13f67d9ab6d</x:v>
      </x:c>
      <x:c r="D18" s="71" t="str">
        <x:v>reports/stage5_validation/s56_planet_like_candidates_current_20260727/10_TIC2002732115_a_current_adp.png</x:v>
      </x:c>
    </x:row>
    <x:row r="19" ht="28" customHeight="1">
      <x:c r="A19" s="71" t="str">
        <x:v>11_TIC1883349930_a_current_adp.png</x:v>
      </x:c>
      <x:c r="B19" s="71" t="str">
        <x:v>output</x:v>
      </x:c>
      <x:c r="C19" s="71" t="str">
        <x:v>27ea95b52529cfd2c512ca58ef8323b012f836cfb2b319ca80541e35da79e270</x:v>
      </x:c>
      <x:c r="D19" s="71" t="str">
        <x:v>reports/stage5_validation/s56_planet_like_candidates_current_20260727/11_TIC1883349930_a_current_adp.png</x:v>
      </x:c>
    </x:row>
    <x:row r="20" ht="28" customHeight="1">
      <x:c r="A20" s="71" t="str">
        <x:v>12_TIC1979515854_a_current_adp.png</x:v>
      </x:c>
      <x:c r="B20" s="71" t="str">
        <x:v>output</x:v>
      </x:c>
      <x:c r="C20" s="71" t="str">
        <x:v>e730bf409fb5c6f4aa9ef870c2872d4564607c88f7d81534ae9fead4cdec7a7e</x:v>
      </x:c>
      <x:c r="D20" s="71" t="str">
        <x:v>reports/stage5_validation/s56_planet_like_candidates_current_20260727/12_TIC1979515854_a_current_adp.png</x:v>
      </x:c>
    </x:row>
    <x:row r="21" ht="28" customHeight="1">
      <x:c r="A21" s="71" t="str">
        <x:v>13_TIC2040364939_a_current_adp.png</x:v>
      </x:c>
      <x:c r="B21" s="71" t="str">
        <x:v>output</x:v>
      </x:c>
      <x:c r="C21" s="71" t="str">
        <x:v>e9c08eb077facba11e64ecd5671b662cec03efef9486d052d98a57428c258dee</x:v>
      </x:c>
      <x:c r="D21" s="71" t="str">
        <x:v>reports/stage5_validation/s56_planet_like_candidates_current_20260727/13_TIC2040364939_a_current_adp.png</x:v>
      </x:c>
    </x:row>
    <x:row r="22" ht="28" customHeight="1">
      <x:c r="A22" s="71" t="str">
        <x:v>14_TIC2003242089_b_current_adp.png</x:v>
      </x:c>
      <x:c r="B22" s="71" t="str">
        <x:v>output</x:v>
      </x:c>
      <x:c r="C22" s="71" t="str">
        <x:v>18a383fc9d91b7874af14fb0b1d01397c4a23e0957b24660a38e4da9386661c8</x:v>
      </x:c>
      <x:c r="D22" s="71" t="str">
        <x:v>reports/stage5_validation/s56_planet_like_candidates_current_20260727/14_TIC2003242089_b_current_adp.png</x:v>
      </x:c>
    </x:row>
    <x:row r="23" ht="28" customHeight="1">
      <x:c r="A23" s="71" t="str">
        <x:v>15_TIC2040434684_b_current_adp.png</x:v>
      </x:c>
      <x:c r="B23" s="71" t="str">
        <x:v>output</x:v>
      </x:c>
      <x:c r="C23" s="71" t="str">
        <x:v>3bab257a542d1164c5c4a30e9f674633ed50714e5799229164cc7c7c3381f35b</x:v>
      </x:c>
      <x:c r="D23" s="71" t="str">
        <x:v>reports/stage5_validation/s56_planet_like_candidates_current_20260727/15_TIC2040434684_b_current_adp.png</x:v>
      </x:c>
    </x:row>
    <x:row r="24" ht="28" customHeight="1">
      <x:c r="A24" s="71" t="str">
        <x:v>16_TIC1884114805_b_current_adp.png</x:v>
      </x:c>
      <x:c r="B24" s="71" t="str">
        <x:v>output</x:v>
      </x:c>
      <x:c r="C24" s="71" t="str">
        <x:v>53871b12e4edd0b4b906806d7e84f24454f7296e6eb14fb2148dcd15fd6dbe3c</x:v>
      </x:c>
      <x:c r="D24" s="71" t="str">
        <x:v>reports/stage5_validation/s56_planet_like_candidates_current_20260727/16_TIC1884114805_b_current_adp.png</x:v>
      </x:c>
    </x:row>
    <x:row r="25" ht="28" customHeight="1">
      <x:c r="A25" s="71" t="str">
        <x:v>17_TIC2013972572_b_current_adp.png</x:v>
      </x:c>
      <x:c r="B25" s="71" t="str">
        <x:v>output</x:v>
      </x:c>
      <x:c r="C25" s="71" t="str">
        <x:v>3534ba466ec32d3a12b75a7733f846a2471c4f4b8b62eb899c8a4d5892632265</x:v>
      </x:c>
      <x:c r="D25" s="71" t="str">
        <x:v>reports/stage5_validation/s56_planet_like_candidates_current_20260727/17_TIC2013972572_b_current_adp.png</x:v>
      </x:c>
    </x:row>
    <x:row r="26" ht="28" customHeight="1">
      <x:c r="A26" s="71" t="str">
        <x:v>18_TIC1882050598_b_current_adp.png</x:v>
      </x:c>
      <x:c r="B26" s="71" t="str">
        <x:v>output</x:v>
      </x:c>
      <x:c r="C26" s="71" t="str">
        <x:v>17150ac3fad6c5edce743d2c8930372dc2700b01869299072de4fa584cbda470</x:v>
      </x:c>
      <x:c r="D26" s="71" t="str">
        <x:v>reports/stage5_validation/s56_planet_like_candidates_current_20260727/18_TIC1882050598_b_current_adp.png</x:v>
      </x:c>
    </x:row>
    <x:row r="27" ht="28" customHeight="1">
      <x:c r="A27" s="71" t="str">
        <x:v>19_TIC2001273871_b_current_adp.png</x:v>
      </x:c>
      <x:c r="B27" s="71" t="str">
        <x:v>output</x:v>
      </x:c>
      <x:c r="C27" s="71" t="str">
        <x:v>283520a9d5be90a3d21febe78233906fd443d32acbbdc301d7b57c2b668baeaf</x:v>
      </x:c>
      <x:c r="D27" s="71" t="str">
        <x:v>reports/stage5_validation/s56_planet_like_candidates_current_20260727/19_TIC2001273871_b_current_adp.png</x:v>
      </x:c>
    </x:row>
    <x:row r="28" ht="28" customHeight="1">
      <x:c r="A28" s="71" t="str">
        <x:v>20_TIC2040459567_b_current_adp.png</x:v>
      </x:c>
      <x:c r="B28" s="71" t="str">
        <x:v>output</x:v>
      </x:c>
      <x:c r="C28" s="71" t="str">
        <x:v>4fb417550770693f62e57f936fd780944c1652adf0f7d569292ddf3a1766c6eb</x:v>
      </x:c>
      <x:c r="D28" s="71" t="str">
        <x:v>reports/stage5_validation/s56_planet_like_candidates_current_20260727/20_TIC2040459567_b_current_adp.png</x:v>
      </x:c>
    </x:row>
    <x:row r="29" ht="28" customHeight="1">
      <x:c r="A29" s="71" t="str">
        <x:v>21_TIC2040712491_b_current_adp.png</x:v>
      </x:c>
      <x:c r="B29" s="71" t="str">
        <x:v>output</x:v>
      </x:c>
      <x:c r="C29" s="71" t="str">
        <x:v>c4a677e81c3475bd369538f992c28b41505352eac0cecfdab8a4ff2607ba18a7</x:v>
      </x:c>
      <x:c r="D29" s="71" t="str">
        <x:v>reports/stage5_validation/s56_planet_like_candidates_current_20260727/21_TIC2040712491_b_current_adp.png</x:v>
      </x:c>
    </x:row>
    <x:row r="30" ht="28" customHeight="1">
      <x:c r="A30" s="71" t="str">
        <x:v>22_TIC2040327472_b_current_adp.png</x:v>
      </x:c>
      <x:c r="B30" s="71" t="str">
        <x:v>output</x:v>
      </x:c>
      <x:c r="C30" s="71" t="str">
        <x:v>92cb236fee7caa1a8ec3c4ca13ed836cb5cb9c54ae4e2aba50b12914007404d0</x:v>
      </x:c>
      <x:c r="D30" s="71" t="str">
        <x:v>reports/stage5_validation/s56_planet_like_candidates_current_20260727/22_TIC2040327472_b_current_adp.png</x:v>
      </x:c>
    </x:row>
    <x:row r="31" ht="28" customHeight="1">
      <x:c r="A31" s="71" t="str">
        <x:v>23_TIC2011415393_b_current_adp.png</x:v>
      </x:c>
      <x:c r="B31" s="71" t="str">
        <x:v>output</x:v>
      </x:c>
      <x:c r="C31" s="71" t="str">
        <x:v>d369783be2667fd1b4dbbad43d667625da663e8e31c267f496056a40db5a618c</x:v>
      </x:c>
      <x:c r="D31" s="71" t="str">
        <x:v>reports/stage5_validation/s56_planet_like_candidates_current_20260727/23_TIC2011415393_b_current_adp.png</x:v>
      </x:c>
    </x:row>
    <x:row r="32" ht="28" customHeight="1">
      <x:c r="A32" s="71" t="str">
        <x:v>24_TIC1979188354_b_current_adp.png</x:v>
      </x:c>
      <x:c r="B32" s="71" t="str">
        <x:v>output</x:v>
      </x:c>
      <x:c r="C32" s="71" t="str">
        <x:v>9693c663c103da30c2e5fc6a6d37de808be925ceed080495027374fea7624180</x:v>
      </x:c>
      <x:c r="D32" s="71" t="str">
        <x:v>reports/stage5_validation/s56_planet_like_candidates_current_20260727/24_TIC1979188354_b_current_adp.png</x:v>
      </x:c>
    </x:row>
    <x:row r="33" ht="28" customHeight="1">
      <x:c r="A33" s="71" t="str">
        <x:v>25_TIC2003515304_b_current_adp.png</x:v>
      </x:c>
      <x:c r="B33" s="71" t="str">
        <x:v>output</x:v>
      </x:c>
      <x:c r="C33" s="71" t="str">
        <x:v>eed01b1358cc52c0918ecbcfd76551a44688f37ade7109dbaed30b3a0ed432ff</x:v>
      </x:c>
      <x:c r="D33" s="71" t="str">
        <x:v>reports/stage5_validation/s56_planet_like_candidates_current_20260727/25_TIC2003515304_b_current_adp.png</x:v>
      </x:c>
    </x:row>
    <x:row r="34" ht="28" customHeight="1">
      <x:c r="A34" s="71" t="str">
        <x:v>26_TIC1978545466_b_current_adp.png</x:v>
      </x:c>
      <x:c r="B34" s="71" t="str">
        <x:v>output</x:v>
      </x:c>
      <x:c r="C34" s="71" t="str">
        <x:v>d9209b12e43042cdf6c483b2e4281dd32701a3f39a72df1dc6fd5ecad4ab59e0</x:v>
      </x:c>
      <x:c r="D34" s="71" t="str">
        <x:v>reports/stage5_validation/s56_planet_like_candidates_current_20260727/26_TIC1978545466_b_current_adp.png</x:v>
      </x:c>
    </x:row>
    <x:row r="35" ht="28" customHeight="1">
      <x:c r="A35" s="71" t="str">
        <x:v>27_TIC2040583203_b_current_adp.png</x:v>
      </x:c>
      <x:c r="B35" s="71" t="str">
        <x:v>output</x:v>
      </x:c>
      <x:c r="C35" s="71" t="str">
        <x:v>b593fa17f95553f256cc59fad4ebef4fc22f3d3e43540603370986e90083f3ab</x:v>
      </x:c>
      <x:c r="D35" s="71" t="str">
        <x:v>reports/stage5_validation/s56_planet_like_candidates_current_20260727/27_TIC2040583203_b_current_adp.png</x:v>
      </x:c>
    </x:row>
    <x:row r="36" ht="28" customHeight="1">
      <x:c r="A36" s="71" t="str">
        <x:v>28_TIC2003344337_b_current_adp.png</x:v>
      </x:c>
      <x:c r="B36" s="71" t="str">
        <x:v>output</x:v>
      </x:c>
      <x:c r="C36" s="71" t="str">
        <x:v>953b8421b0a1d8ce3b5cf2e72c2e9f93a2d57ce663594e4ef01d0c8653e920e7</x:v>
      </x:c>
      <x:c r="D36" s="71" t="str">
        <x:v>reports/stage5_validation/s56_planet_like_candidates_current_20260727/28_TIC2003344337_b_current_adp.png</x:v>
      </x:c>
    </x:row>
    <x:row r="37" ht="28" customHeight="1">
      <x:c r="A37" s="71" t="str">
        <x:v>29_TIC2001332736_c_current_adp.png</x:v>
      </x:c>
      <x:c r="B37" s="71" t="str">
        <x:v>output</x:v>
      </x:c>
      <x:c r="C37" s="71" t="str">
        <x:v>dd1753bec366ca68f2a1470b37fbb27706fb930d220882a1acd9f728e530e759</x:v>
      </x:c>
      <x:c r="D37" s="71" t="str">
        <x:v>reports/stage5_validation/s56_planet_like_candidates_current_20260727/29_TIC2001332736_c_current_adp.png</x:v>
      </x:c>
    </x:row>
    <x:row r="38" ht="28" customHeight="1">
      <x:c r="A38" s="71" t="str">
        <x:v>30_TIC1971892020_c_current_adp.png</x:v>
      </x:c>
      <x:c r="B38" s="71" t="str">
        <x:v>output</x:v>
      </x:c>
      <x:c r="C38" s="71" t="str">
        <x:v>60ef9980768584fb34c71818ed7256abef30fc8205b5bf10000f0f6adf312f3f</x:v>
      </x:c>
      <x:c r="D38" s="71" t="str">
        <x:v>reports/stage5_validation/s56_planet_like_candidates_current_20260727/30_TIC1971892020_c_current_adp.png</x:v>
      </x:c>
    </x:row>
    <x:row r="39" ht="28" customHeight="1">
      <x:c r="A39" s="71" t="str">
        <x:v>README.md</x:v>
      </x:c>
      <x:c r="B39" s="71" t="str">
        <x:v>output</x:v>
      </x:c>
      <x:c r="C39" s="71" t="str">
        <x:v>60ef6363dc7975c81eeb79f033ec261750acbe6ad48ad5414d8efdc6d5d02728</x:v>
      </x:c>
      <x:c r="D39" s="71" t="str">
        <x:v>reports/stage5_validation/s56_planet_like_candidates_current_20260727/README.md</x:v>
      </x:c>
    </x:row>
    <x:row r="40" ht="28" customHeight="1">
      <x:c r="A40" s="71" t="str">
        <x:v>s56_planet_like_candidates.csv</x:v>
      </x:c>
      <x:c r="B40" s="71" t="str">
        <x:v>output</x:v>
      </x:c>
      <x:c r="C40" s="71" t="str">
        <x:v>222b67c37686ea0f9e23f1a75a2b72a4db0018b2fd9519ae974ded779ea7b3de</x:v>
      </x:c>
      <x:c r="D40" s="71" t="str">
        <x:v>reports/stage5_validation/s56_planet_like_candidates_current_20260727/s56_planet_like_candidates.csv</x:v>
      </x:c>
    </x:row>
    <x:row r="41" ht="28" customHeight="1">
      <x:c r="A41" s="71" t="str">
        <x:v>s56_planet_like_candidates.json</x:v>
      </x:c>
      <x:c r="B41" s="71" t="str">
        <x:v>output</x:v>
      </x:c>
      <x:c r="C41" s="71" t="str">
        <x:v>e926f18aa12dd39ddfe56596123869b33481c0d88e7477fc8bd8c44ab34f4585</x:v>
      </x:c>
      <x:c r="D41" s="71" t="str">
        <x:v>reports/stage5_validation/s56_planet_like_candidates_current_20260727/s56_planet_like_candidates.json</x:v>
      </x:c>
    </x:row>
    <x:row r="42" ht="28" customHeight="1">
      <x:c r="A42" s="71" t="str">
        <x:v>s56_planet_like_candidates_summary.pdf</x:v>
      </x:c>
      <x:c r="B42" s="71" t="str">
        <x:v>output</x:v>
      </x:c>
      <x:c r="C42" s="71" t="str">
        <x:v>6bfd8fd016cf1484ec03235e0ee19377f916265bfafb2256617c60e817a22410</x:v>
      </x:c>
      <x:c r="D42" s="71" t="str">
        <x:v>reports/stage5_validation/s56_planet_like_candidates_current_20260727/s56_planet_like_candidates_summary.pdf</x:v>
      </x:c>
    </x:row>
    <x:row r="43" ht="28" customHeight="1">
      <x:c r="A43" s="71" t="str">
        <x:v>s56_planet_like_candidates_summary.png</x:v>
      </x:c>
      <x:c r="B43" s="71" t="str">
        <x:v>output</x:v>
      </x:c>
      <x:c r="C43" s="71" t="str">
        <x:v>086802e93f3773d1c00b4c0b169d0717b69e576cbee0dd0d33546effa9dd87ef</x:v>
      </x:c>
      <x:c r="D43" s="71" t="str">
        <x:v>reports/stage5_validation/s56_planet_like_candidates_current_20260727/s56_planet_like_candidates_summary.png</x:v>
      </x:c>
    </x:row>
  </x:sheetData>
  <x:mergeCells>
    <x:mergeCell ref="A1:D1"/>
  </x:mergeCells>
  <x:pageMargins left="0.7" right="0.7" top="0.75" bottom="0.75" header="0.3" footer="0.3"/>
</x:worksheet>
</file>